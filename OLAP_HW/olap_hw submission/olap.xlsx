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H\SEMESTER 2\DATABASE MANAGEMENT\PRACS\OLAP_HW\"/>
    </mc:Choice>
  </mc:AlternateContent>
  <xr:revisionPtr revIDLastSave="0" documentId="8_{22412184-D1E0-4BCC-9255-798DE4E73C3A}" xr6:coauthVersionLast="47" xr6:coauthVersionMax="47" xr10:uidLastSave="{00000000-0000-0000-0000-000000000000}"/>
  <bookViews>
    <workbookView xWindow="-108" yWindow="-108" windowWidth="23256" windowHeight="12456" firstSheet="1" activeTab="2" xr2:uid="{8E09D3AF-20D5-40DC-B236-AA266035545B}"/>
  </bookViews>
  <sheets>
    <sheet name="Amount by CalendarYear and Orga" sheetId="1" r:id="rId1"/>
    <sheet name="Amount by AccountDescription an" sheetId="2" r:id="rId2"/>
    <sheet name="AccountCodeAlternateKey and Eng" sheetId="3" r:id="rId3"/>
  </sheets>
  <calcPr calcId="191029"/>
  <pivotCaches>
    <pivotCache cacheId="69" r:id="rId4"/>
    <pivotCache cacheId="81" r:id="rId5"/>
    <pivotCache cacheId="9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B6A91D9-3C9A-4C20-87AE-CB9DA717B56F}" odcFile="C:\Users\HP\OneDrive\Documents\My Data Sources\DESKTOP-80EOCJ3_SQLSERVER2022 OLAP_HW Cube_ DhwaniPathak_Finance.odc" keepAlive="1" name="DESKTOP-80EOCJ3_SQLSERVER2022 OLAP_HW Cube_ DhwaniPathak_Finance" type="5" refreshedVersion="8" background="1">
    <dbPr connection="Provider=MSOLAP.8;Integrated Security=SSPI;Persist Security Info=True;Initial Catalog=OLAP_HW;Data Source=DESKTOP-80EOCJ3\SQLSERVER2022;MDX Compatibility=1;Safety Options=2;MDX Missing Member Mode=Error;Update Isolation Level=2" command="Cube_ DhwaniPathak_Finance" commandType="1"/>
    <olapPr sendLocale="1" rowDrillCount="1000"/>
  </connection>
  <connection id="2" xr16:uid="{BD82B270-8B6A-4270-AEFC-3DD2CA7EFA51}" odcFile="C:\Users\HP\OneDrive\Documents\My Data Sources\DESKTOP-80EOCJ3_SQLSERVER2022 OLAP_HW Cube_ DhwaniPathak_Finance.odc" keepAlive="1" name="DESKTOP-80EOCJ3_SQLSERVER2022 OLAP_HW Cube_ DhwaniPathak_Finance1" type="5" refreshedVersion="8" background="1">
    <dbPr connection="Provider=MSOLAP.8;Integrated Security=SSPI;Persist Security Info=True;Initial Catalog=OLAP_HW;Data Source=DESKTOP-80EOCJ3\SQLSERVER2022;MDX Compatibility=1;Safety Options=2;MDX Missing Member Mode=Error;Update Isolation Level=2" command="Cube_ DhwaniPathak_Finance" commandType="1"/>
    <olapPr sendLocale="1" rowDrillCount="1000"/>
  </connection>
  <connection id="3" xr16:uid="{FCD4F033-09FD-421C-9D87-CBE8EE889774}" odcFile="C:\Users\HP\OneDrive\Documents\My Data Sources\DESKTOP-80EOCJ3_SQLSERVER2022 OLAP_HW Cube_ DhwaniPathak_Finance.odc" keepAlive="1" name="DESKTOP-80EOCJ3_SQLSERVER2022 OLAP_HW Cube_ DhwaniPathak_Finance2" type="5" refreshedVersion="8" background="1">
    <dbPr connection="Provider=MSOLAP.8;Integrated Security=SSPI;Persist Security Info=True;Initial Catalog=OLAP_HW;Data Source=DESKTOP-80EOCJ3\SQLSERVER2022;MDX Compatibility=1;Safety Options=2;MDX Missing Member Mode=Error;Update Isolation Level=2" command="Cube_ DhwaniPathak_Finance" commandType="1"/>
    <olapPr sendLocale="1" rowDrillCount="1000"/>
  </connection>
</connections>
</file>

<file path=xl/sharedStrings.xml><?xml version="1.0" encoding="utf-8"?>
<sst xmlns="http://schemas.openxmlformats.org/spreadsheetml/2006/main" count="185" uniqueCount="174">
  <si>
    <t>Column Labels</t>
  </si>
  <si>
    <t>Grand Total</t>
  </si>
  <si>
    <t>Row Labels</t>
  </si>
  <si>
    <t>2010</t>
  </si>
  <si>
    <t>2011</t>
  </si>
  <si>
    <t>2012</t>
  </si>
  <si>
    <t>2013</t>
  </si>
  <si>
    <t>Australia</t>
  </si>
  <si>
    <t>Canadian Division</t>
  </si>
  <si>
    <t>Central Division</t>
  </si>
  <si>
    <t>France</t>
  </si>
  <si>
    <t>Germany</t>
  </si>
  <si>
    <t>Northeast Division</t>
  </si>
  <si>
    <t>Northwest Division</t>
  </si>
  <si>
    <t>Southeast Division</t>
  </si>
  <si>
    <t>Southwest Division</t>
  </si>
  <si>
    <t>Amount</t>
  </si>
  <si>
    <t>Accounts Payable</t>
  </si>
  <si>
    <t>Additional Paid In Capital</t>
  </si>
  <si>
    <t>Allowance for Bad Debt</t>
  </si>
  <si>
    <t>Amortization of Goodwill</t>
  </si>
  <si>
    <t>Building Leasehold</t>
  </si>
  <si>
    <t>Buildings &amp; Improvements</t>
  </si>
  <si>
    <t>Cash</t>
  </si>
  <si>
    <t>Commissions</t>
  </si>
  <si>
    <t>Conferences</t>
  </si>
  <si>
    <t>Construction In Progress</t>
  </si>
  <si>
    <t>Curr Xchg Gain/(Loss)</t>
  </si>
  <si>
    <t>Current Installments of Long-term Debt</t>
  </si>
  <si>
    <t>Current Retained Earnings</t>
  </si>
  <si>
    <t>Deferred Taxes</t>
  </si>
  <si>
    <t>Discounts</t>
  </si>
  <si>
    <t>Employee Benefits</t>
  </si>
  <si>
    <t>Entertainment</t>
  </si>
  <si>
    <t>Equipment</t>
  </si>
  <si>
    <t>Finished Goods</t>
  </si>
  <si>
    <t>Furniture and Fixtures</t>
  </si>
  <si>
    <t>Gain/Loss on Sales of Asset</t>
  </si>
  <si>
    <t>Headcount</t>
  </si>
  <si>
    <t>Insurance</t>
  </si>
  <si>
    <t>Intercompany Payables</t>
  </si>
  <si>
    <t>Intercompany Receivables</t>
  </si>
  <si>
    <t>Intercompany Sales</t>
  </si>
  <si>
    <t>Interest Expense</t>
  </si>
  <si>
    <t>Interest Income</t>
  </si>
  <si>
    <t>Land &amp; Improvements</t>
  </si>
  <si>
    <t>Leasehold Improvements</t>
  </si>
  <si>
    <t>Long Term Obligations</t>
  </si>
  <si>
    <t>Machinery &amp; Equipment</t>
  </si>
  <si>
    <t>Marketing Collateral</t>
  </si>
  <si>
    <t>Meals</t>
  </si>
  <si>
    <t>Notes Payable</t>
  </si>
  <si>
    <t>Office Furniture &amp; Equipment</t>
  </si>
  <si>
    <t>Office Supplies</t>
  </si>
  <si>
    <t>Other Assets</t>
  </si>
  <si>
    <t>Other Current Liabilities</t>
  </si>
  <si>
    <t>Other Expenses</t>
  </si>
  <si>
    <t>Other Income</t>
  </si>
  <si>
    <t>Other Long Term Liabilities</t>
  </si>
  <si>
    <t>Other Receivables</t>
  </si>
  <si>
    <t>Other Retirement Benefits</t>
  </si>
  <si>
    <t>Other Travel Related</t>
  </si>
  <si>
    <t>Partner Capital</t>
  </si>
  <si>
    <t>Payroll Taxes</t>
  </si>
  <si>
    <t>Pension Liability</t>
  </si>
  <si>
    <t>Prepaid Expenses</t>
  </si>
  <si>
    <t>Prior Year Retained Earnings</t>
  </si>
  <si>
    <t>Professional Services</t>
  </si>
  <si>
    <t>Raw Materials</t>
  </si>
  <si>
    <t>Rent</t>
  </si>
  <si>
    <t>Returns and Adjustments</t>
  </si>
  <si>
    <t>Salaries</t>
  </si>
  <si>
    <t>Salary &amp; Other Comp</t>
  </si>
  <si>
    <t>Square Footage</t>
  </si>
  <si>
    <t>Standard Cost of Sales</t>
  </si>
  <si>
    <t>Taxes</t>
  </si>
  <si>
    <t>Telephone</t>
  </si>
  <si>
    <t>Trade Receivables</t>
  </si>
  <si>
    <t>Trade Sales</t>
  </si>
  <si>
    <t>Travel Lodging</t>
  </si>
  <si>
    <t>Travel Transportation</t>
  </si>
  <si>
    <t>Units</t>
  </si>
  <si>
    <t>Utilities</t>
  </si>
  <si>
    <t>Variances</t>
  </si>
  <si>
    <t>Vehicles</t>
  </si>
  <si>
    <t>Warranties</t>
  </si>
  <si>
    <t>Work in Process</t>
  </si>
  <si>
    <t>1</t>
  </si>
  <si>
    <t>2</t>
  </si>
  <si>
    <t>3</t>
  </si>
  <si>
    <t>4</t>
  </si>
  <si>
    <t>1110</t>
  </si>
  <si>
    <t>1130</t>
  </si>
  <si>
    <t>1140</t>
  </si>
  <si>
    <t>1150</t>
  </si>
  <si>
    <t>1162</t>
  </si>
  <si>
    <t>1164</t>
  </si>
  <si>
    <t>1166</t>
  </si>
  <si>
    <t>1170</t>
  </si>
  <si>
    <t>1180</t>
  </si>
  <si>
    <t>1185</t>
  </si>
  <si>
    <t>1210</t>
  </si>
  <si>
    <t>1220</t>
  </si>
  <si>
    <t>1230</t>
  </si>
  <si>
    <t>1240</t>
  </si>
  <si>
    <t>1250</t>
  </si>
  <si>
    <t>1260</t>
  </si>
  <si>
    <t>1300</t>
  </si>
  <si>
    <t>2210</t>
  </si>
  <si>
    <t>2220</t>
  </si>
  <si>
    <t>2230</t>
  </si>
  <si>
    <t>2310</t>
  </si>
  <si>
    <t>2320</t>
  </si>
  <si>
    <t>2330</t>
  </si>
  <si>
    <t>2340</t>
  </si>
  <si>
    <t>2350</t>
  </si>
  <si>
    <t>2410</t>
  </si>
  <si>
    <t>2420</t>
  </si>
  <si>
    <t>2430</t>
  </si>
  <si>
    <t>2440</t>
  </si>
  <si>
    <t>3010</t>
  </si>
  <si>
    <t>3020</t>
  </si>
  <si>
    <t>3540</t>
  </si>
  <si>
    <t>3550</t>
  </si>
  <si>
    <t>4130</t>
  </si>
  <si>
    <t>4140</t>
  </si>
  <si>
    <t>4200</t>
  </si>
  <si>
    <t>4500</t>
  </si>
  <si>
    <t>5020</t>
  </si>
  <si>
    <t>5050</t>
  </si>
  <si>
    <t>6000</t>
  </si>
  <si>
    <t>6020</t>
  </si>
  <si>
    <t>6040</t>
  </si>
  <si>
    <t>6100</t>
  </si>
  <si>
    <t>6200</t>
  </si>
  <si>
    <t>6210</t>
  </si>
  <si>
    <t>6220</t>
  </si>
  <si>
    <t>6230</t>
  </si>
  <si>
    <t>6240</t>
  </si>
  <si>
    <t>6300</t>
  </si>
  <si>
    <t>6310</t>
  </si>
  <si>
    <t>6400</t>
  </si>
  <si>
    <t>6500</t>
  </si>
  <si>
    <t>6610</t>
  </si>
  <si>
    <t>6620</t>
  </si>
  <si>
    <t>6700</t>
  </si>
  <si>
    <t>6810</t>
  </si>
  <si>
    <t>6820</t>
  </si>
  <si>
    <t>6830</t>
  </si>
  <si>
    <t>6840</t>
  </si>
  <si>
    <t>6850</t>
  </si>
  <si>
    <t>6860</t>
  </si>
  <si>
    <t>6920</t>
  </si>
  <si>
    <t>8000</t>
  </si>
  <si>
    <t>8010</t>
  </si>
  <si>
    <t>8020</t>
  </si>
  <si>
    <t>8030</t>
  </si>
  <si>
    <t>8040</t>
  </si>
  <si>
    <t>8500</t>
  </si>
  <si>
    <t>9510</t>
  </si>
  <si>
    <t>9520</t>
  </si>
  <si>
    <t>9540</t>
  </si>
  <si>
    <t>April</t>
  </si>
  <si>
    <t>August</t>
  </si>
  <si>
    <t>December</t>
  </si>
  <si>
    <t>February</t>
  </si>
  <si>
    <t>January</t>
  </si>
  <si>
    <t>July</t>
  </si>
  <si>
    <t>June</t>
  </si>
  <si>
    <t>March</t>
  </si>
  <si>
    <t>May</t>
  </si>
  <si>
    <t>November</t>
  </si>
  <si>
    <t>October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</si>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</sst>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5" Type="http://schemas.openxmlformats.org/officeDocument/2006/relationships/pivotCacheDefinition" Target="pivotCache/pivotCacheDefinition2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5780.890076736112" backgroundQuery="1" createdVersion="8" refreshedVersion="8" minRefreshableVersion="3" recordCount="0" supportSubquery="1" supportAdvancedDrill="1" xr:uid="{68083F62-C1FA-44DF-8FCF-55D31F6BFD21}">
  <cacheSource type="external" connectionId="1"/>
  <cacheFields count="3">
    <cacheField name="[DimDate].[Calendar Year].[Calendar Year]" caption="Calendar Year" numFmtId="0" hierarchy="5" level="1">
      <sharedItems count="4">
        <s v="[DimDate].[Calendar Year].&amp;[2010]" c="2010"/>
        <s v="[DimDate].[Calendar Year].&amp;[2011]" c="2011"/>
        <s v="[DimDate].[Calendar Year].&amp;[2012]" c="2012"/>
        <s v="[DimDate].[Calendar Year].&amp;[2013]" c="2013"/>
      </sharedItems>
    </cacheField>
    <cacheField name="[DimOrganization].[Organization Name].[Organization Name]" caption="Organization Name" numFmtId="0" hierarchy="11" level="1">
      <sharedItems count="9">
        <s v="[DimOrganization].[Organization Name].&amp;[Australia]" c="Australia"/>
        <s v="[DimOrganization].[Organization Name].&amp;[Canadian Division]" c="Canadian Division"/>
        <s v="[DimOrganization].[Organization Name].&amp;[Central Division]" c="Central Division"/>
        <s v="[DimOrganization].[Organization Name].&amp;[France]" c="France"/>
        <s v="[DimOrganization].[Organization Name].&amp;[Germany]" c="Germany"/>
        <s v="[DimOrganization].[Organization Name].&amp;[Northeast Division]" c="Northeast Division"/>
        <s v="[DimOrganization].[Organization Name].&amp;[Northwest Division]" c="Northwest Division"/>
        <s v="[DimOrganization].[Organization Name].&amp;[Southeast Division]" c="Southeast Division"/>
        <s v="[DimOrganization].[Organization Name].&amp;[Southwest Division]" c="Southwest Division"/>
      </sharedItems>
    </cacheField>
    <cacheField name="[Measures].[Amount]" caption="Amount" numFmtId="0" hierarchy="15" level="32767"/>
  </cacheFields>
  <cacheHierarchies count="17">
    <cacheHierarchy uniqueName="[DimAccount].[Account Code Alternate Key]" caption="Account Code Alternate Key" attribute="1" defaultMemberUniqueName="[DimAccount].[Account Code Alternate Key].[All]" allUniqueName="[DimAccount].[Account Code Alternate Key].[All]" dimensionUniqueName="[DimAccount]" displayFolder="" count="0" unbalanced="0"/>
    <cacheHierarchy uniqueName="[DimAccount].[Account Description]" caption="Account Description" attribute="1" defaultMemberUniqueName="[DimAccount].[Account Description].[All]" allUniqueName="[DimAccount].[Account Description].[All]" dimensionUniqueName="[DimAccount]" displayFolder="" count="0" unbalanced="0"/>
    <cacheHierarchy uniqueName="[DimAccount].[Account Key]" caption="Account Key" attribute="1" keyAttribute="1" defaultMemberUniqueName="[DimAccount].[Account Key].[All]" allUniqueName="[DimAccount].[Account Key].[All]" dimensionUniqueName="[DimAccount]" displayFolder="" count="0" unbalanced="0"/>
    <cacheHierarchy uniqueName="[DimAccount].[Account Type]" caption="Account Type" attribute="1" defaultMemberUniqueName="[DimAccount].[Account Type].[All]" allUniqueName="[DimAccount].[Account Type].[All]" dimensionUniqueName="[DimAccount]" displayFolder="" count="0" unbalanced="0"/>
    <cacheHierarchy uniqueName="[DimDate].[Calendar Quarter]" caption="Calendar Quarter" attribute="1" defaultMemberUniqueName="[DimDate].[Calendar Quarter].[All]" allUniqueName="[DimDate].[Calendar Quarter].[All]" dimensionUniqueName="[DimDate]" displayFolder="" count="0" unbalanced="0"/>
    <cacheHierarchy uniqueName="[DimDate].[Calendar Year]" caption="Calendar Year" attribute="1" defaultMemberUniqueName="[DimDate].[Calendar Year].[All]" allUniqueName="[DimDate].[Calendar Year].[All]" dimensionUniqueName="[DimDate]" displayFolder="" count="2" unbalanced="0">
      <fieldsUsage count="2">
        <fieldUsage x="-1"/>
        <fieldUsage x="0"/>
      </fieldsUsage>
    </cacheHierarchy>
    <cacheHierarchy uniqueName="[DimDate].[Date Key]" caption="Date Key" attribute="1" keyAttribute="1" defaultMemberUniqueName="[DimDate].[Date Key].[All]" allUniqueName="[DimDate].[Date Key].[All]" dimensionUniqueName="[DimDate]" displayFolder="" count="0" unbalanced="0"/>
    <cacheHierarchy uniqueName="[DimDate].[English Day Name Of Week]" caption="English Day Name Of Week" attribute="1" defaultMemberUniqueName="[DimDate].[English Day Name Of Week].[All]" allUniqueName="[DimDate].[English Day Name Of Week].[All]" dimensionUniqueName="[DimDate]" displayFolder="" count="2" unbalanced="0"/>
    <cacheHierarchy uniqueName="[DimDate].[English Month Name]" caption="English Month Name" attribute="1" defaultMemberUniqueName="[DimDate].[English Month Name].[All]" allUniqueName="[DimDate].[English Month Name].[All]" dimensionUniqueName="[DimDate]" displayFolder="" count="0" unbalanced="0"/>
    <cacheHierarchy uniqueName="[DimDate].[Week Number Of Year]" caption="Week Number Of Year" attribute="1" defaultMemberUniqueName="[DimDate].[Week Number Of Year].[All]" allUniqueName="[DimDate].[Week Number Of Year].[All]" dimensionUniqueName="[DimDate]" displayFolder="" count="0" unbalanced="0"/>
    <cacheHierarchy uniqueName="[DimOrganization].[Organization Key]" caption="Organization Key" attribute="1" keyAttribute="1" defaultMemberUniqueName="[DimOrganization].[Organization Key].[All]" allUniqueName="[DimOrganization].[Organization Key].[All]" dimensionUniqueName="[DimOrganization]" displayFolder="" count="0" unbalanced="0"/>
    <cacheHierarchy uniqueName="[DimOrganization].[Organization Name]" caption="Organization Name" attribute="1" defaultMemberUniqueName="[DimOrganization].[Organization Name].[All]" allUniqueName="[DimOrganization].[Organization Name].[All]" dimensionUniqueName="[DimOrganization]" displayFolder="" count="2" unbalanced="0">
      <fieldsUsage count="2">
        <fieldUsage x="-1"/>
        <fieldUsage x="1"/>
      </fieldsUsage>
    </cacheHierarchy>
    <cacheHierarchy uniqueName="[Measures].[Finance Key]" caption="Finance Key" measure="1" displayFolder="" measureGroup="Fact Finance" count="0"/>
    <cacheHierarchy uniqueName="[Measures].[Department Group Key]" caption="Department Group Key" measure="1" displayFolder="" measureGroup="Fact Finance" count="0"/>
    <cacheHierarchy uniqueName="[Measures].[Scenario Key]" caption="Scenario Key" measure="1" displayFolder="" measureGroup="Fact Finance" count="0"/>
    <cacheHierarchy uniqueName="[Measures].[Amount]" caption="Amount" measure="1" displayFolder="" measureGroup="Fact Finance" count="0" oneField="1">
      <fieldsUsage count="1">
        <fieldUsage x="2"/>
      </fieldsUsage>
    </cacheHierarchy>
    <cacheHierarchy uniqueName="[Measures].[Fact Finance Count]" caption="Fact Finance Count" measure="1" displayFolder="" measureGroup="Fact Finance" count="0"/>
  </cacheHierarchies>
  <kpis count="0"/>
  <dimensions count="4">
    <dimension name="DimAccount" uniqueName="[DimAccount]" caption="DimAccount"/>
    <dimension name="DimDate" uniqueName="[DimDate]" caption="DimDate"/>
    <dimension name="DimOrganization" uniqueName="[DimOrganization]" caption="DimOrganization"/>
    <dimension measure="1" name="Measures" uniqueName="[Measures]" caption="Measures"/>
  </dimensions>
  <measureGroups count="1">
    <measureGroup name="Fact Finance" caption="Fact Finance"/>
  </measureGroups>
  <maps count="3">
    <map measureGroup="0" dimension="0"/>
    <map measureGroup="0" dimension="1"/>
    <map measureGroup="0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5780.891015972222" backgroundQuery="1" createdVersion="8" refreshedVersion="8" minRefreshableVersion="3" recordCount="0" supportSubquery="1" supportAdvancedDrill="1" xr:uid="{EF813FC7-D7F1-4377-933A-AC4C15E5869E}">
  <cacheSource type="external" connectionId="2"/>
  <cacheFields count="3">
    <cacheField name="[Measures].[Amount]" caption="Amount" numFmtId="0" hierarchy="15" level="32767"/>
    <cacheField name="[DimAccount].[Account Description].[Account Description]" caption="Account Description" numFmtId="0" hierarchy="1" level="1">
      <sharedItems count="70">
        <s v="[DimAccount].[Account Description].&amp;[Accounts Payable]" c="Accounts Payable"/>
        <s v="[DimAccount].[Account Description].&amp;[Additional Paid In Capital]" c="Additional Paid In Capital"/>
        <s v="[DimAccount].[Account Description].&amp;[Allowance for Bad Debt]" c="Allowance for Bad Debt"/>
        <s v="[DimAccount].[Account Description].&amp;[Amortization of Goodwill]" c="Amortization of Goodwill"/>
        <s v="[DimAccount].[Account Description].&amp;[Building Leasehold]" c="Building Leasehold"/>
        <s v="[DimAccount].[Account Description].&amp;[Buildings &amp; Improvements]" c="Buildings &amp; Improvements"/>
        <s v="[DimAccount].[Account Description].&amp;[Cash]" c="Cash"/>
        <s v="[DimAccount].[Account Description].&amp;[Commissions]" c="Commissions"/>
        <s v="[DimAccount].[Account Description].&amp;[Conferences]" c="Conferences"/>
        <s v="[DimAccount].[Account Description].&amp;[Construction In Progress]" c="Construction In Progress"/>
        <s v="[DimAccount].[Account Description].&amp;[Curr Xchg Gain/(Loss)]" c="Curr Xchg Gain/(Loss)"/>
        <s v="[DimAccount].[Account Description].&amp;[Current Installments of Long-term Debt]" c="Current Installments of Long-term Debt"/>
        <s v="[DimAccount].[Account Description].&amp;[Current Retained Earnings]" c="Current Retained Earnings"/>
        <s v="[DimAccount].[Account Description].&amp;[Deferred Taxes]" c="Deferred Taxes"/>
        <s v="[DimAccount].[Account Description].&amp;[Discounts]" c="Discounts"/>
        <s v="[DimAccount].[Account Description].&amp;[Employee Benefits]" c="Employee Benefits"/>
        <s v="[DimAccount].[Account Description].&amp;[Entertainment]" c="Entertainment"/>
        <s v="[DimAccount].[Account Description].&amp;[Equipment]" c="Equipment"/>
        <s v="[DimAccount].[Account Description].&amp;[Finished Goods]" c="Finished Goods"/>
        <s v="[DimAccount].[Account Description].&amp;[Furniture and Fixtures]" c="Furniture and Fixtures"/>
        <s v="[DimAccount].[Account Description].&amp;[Gain/Loss on Sales of Asset]" c="Gain/Loss on Sales of Asset"/>
        <s v="[DimAccount].[Account Description].&amp;[Headcount]" c="Headcount"/>
        <s v="[DimAccount].[Account Description].&amp;[Insurance]" c="Insurance"/>
        <s v="[DimAccount].[Account Description].&amp;[Intercompany Payables]" c="Intercompany Payables"/>
        <s v="[DimAccount].[Account Description].&amp;[Intercompany Receivables]" c="Intercompany Receivables"/>
        <s v="[DimAccount].[Account Description].&amp;[Intercompany Sales]" c="Intercompany Sales"/>
        <s v="[DimAccount].[Account Description].&amp;[Interest Expense]" c="Interest Expense"/>
        <s v="[DimAccount].[Account Description].&amp;[Interest Income]" c="Interest Income"/>
        <s v="[DimAccount].[Account Description].&amp;[Land &amp; Improvements]" c="Land &amp; Improvements"/>
        <s v="[DimAccount].[Account Description].&amp;[Leasehold Improvements]" c="Leasehold Improvements"/>
        <s v="[DimAccount].[Account Description].&amp;[Long Term Obligations]" c="Long Term Obligations"/>
        <s v="[DimAccount].[Account Description].&amp;[Machinery &amp; Equipment]" c="Machinery &amp; Equipment"/>
        <s v="[DimAccount].[Account Description].&amp;[Marketing Collateral]" c="Marketing Collateral"/>
        <s v="[DimAccount].[Account Description].&amp;[Meals]" c="Meals"/>
        <s v="[DimAccount].[Account Description].&amp;[Notes Payable]" c="Notes Payable"/>
        <s v="[DimAccount].[Account Description].&amp;[Office Furniture &amp; Equipment]" c="Office Furniture &amp; Equipment"/>
        <s v="[DimAccount].[Account Description].&amp;[Office Supplies]" c="Office Supplies"/>
        <s v="[DimAccount].[Account Description].&amp;[Other Assets]" c="Other Assets"/>
        <s v="[DimAccount].[Account Description].&amp;[Other Current Liabilities]" c="Other Current Liabilities"/>
        <s v="[DimAccount].[Account Description].&amp;[Other Expenses]" c="Other Expenses"/>
        <s v="[DimAccount].[Account Description].&amp;[Other Income]" c="Other Income"/>
        <s v="[DimAccount].[Account Description].&amp;[Other Long Term Liabilities]" c="Other Long Term Liabilities"/>
        <s v="[DimAccount].[Account Description].&amp;[Other Receivables]" c="Other Receivables"/>
        <s v="[DimAccount].[Account Description].&amp;[Other Retirement Benefits]" c="Other Retirement Benefits"/>
        <s v="[DimAccount].[Account Description].&amp;[Other Travel Related]" c="Other Travel Related"/>
        <s v="[DimAccount].[Account Description].&amp;[Partner Capital]" c="Partner Capital"/>
        <s v="[DimAccount].[Account Description].&amp;[Payroll Taxes]" c="Payroll Taxes"/>
        <s v="[DimAccount].[Account Description].&amp;[Pension Liability]" c="Pension Liability"/>
        <s v="[DimAccount].[Account Description].&amp;[Prepaid Expenses]" c="Prepaid Expenses"/>
        <s v="[DimAccount].[Account Description].&amp;[Prior Year Retained Earnings]" c="Prior Year Retained Earnings"/>
        <s v="[DimAccount].[Account Description].&amp;[Professional Services]" c="Professional Services"/>
        <s v="[DimAccount].[Account Description].&amp;[Raw Materials]" c="Raw Materials"/>
        <s v="[DimAccount].[Account Description].&amp;[Rent]" c="Rent"/>
        <s v="[DimAccount].[Account Description].&amp;[Returns and Adjustments]" c="Returns and Adjustments"/>
        <s v="[DimAccount].[Account Description].&amp;[Salaries]" c="Salaries"/>
        <s v="[DimAccount].[Account Description].&amp;[Salary &amp; Other Comp]" c="Salary &amp; Other Comp"/>
        <s v="[DimAccount].[Account Description].&amp;[Square Footage]" c="Square Footage"/>
        <s v="[DimAccount].[Account Description].&amp;[Standard Cost of Sales]" c="Standard Cost of Sales"/>
        <s v="[DimAccount].[Account Description].&amp;[Taxes]" c="Taxes"/>
        <s v="[DimAccount].[Account Description].&amp;[Telephone]" c="Telephone"/>
        <s v="[DimAccount].[Account Description].&amp;[Trade Receivables]" c="Trade Receivables"/>
        <s v="[DimAccount].[Account Description].&amp;[Trade Sales]" c="Trade Sales"/>
        <s v="[DimAccount].[Account Description].&amp;[Travel Lodging]" c="Travel Lodging"/>
        <s v="[DimAccount].[Account Description].&amp;[Travel Transportation]" c="Travel Transportation"/>
        <s v="[DimAccount].[Account Description].&amp;[Units]" c="Units"/>
        <s v="[DimAccount].[Account Description].&amp;[Utilities]" c="Utilities"/>
        <s v="[DimAccount].[Account Description].&amp;[Variances]" c="Variances"/>
        <s v="[DimAccount].[Account Description].&amp;[Vehicles]" c="Vehicles"/>
        <s v="[DimAccount].[Account Description].&amp;[Warranties]" c="Warranties"/>
        <s v="[DimAccount].[Account Description].&amp;[Work in Process]" c="Work in Process"/>
      </sharedItems>
    </cacheField>
    <cacheField name="[DimDate].[Calendar Quarter].[Calendar Quarter]" caption="Calendar Quarter" numFmtId="0" hierarchy="4" level="1">
      <sharedItems count="4">
        <s v="[DimDate].[Calendar Quarter].&amp;[1]" c="1"/>
        <s v="[DimDate].[Calendar Quarter].&amp;[2]" c="2"/>
        <s v="[DimDate].[Calendar Quarter].&amp;[3]" c="3"/>
        <s v="[DimDate].[Calendar Quarter].&amp;[4]" c="4"/>
      </sharedItems>
    </cacheField>
  </cacheFields>
  <cacheHierarchies count="17">
    <cacheHierarchy uniqueName="[DimAccount].[Account Code Alternate Key]" caption="Account Code Alternate Key" attribute="1" defaultMemberUniqueName="[DimAccount].[Account Code Alternate Key].[All]" allUniqueName="[DimAccount].[Account Code Alternate Key].[All]" dimensionUniqueName="[DimAccount]" displayFolder="" count="0" unbalanced="0"/>
    <cacheHierarchy uniqueName="[DimAccount].[Account Description]" caption="Account Description" attribute="1" defaultMemberUniqueName="[DimAccount].[Account Description].[All]" allUniqueName="[DimAccount].[Account Description].[All]" dimensionUniqueName="[DimAccount]" displayFolder="" count="2" unbalanced="0">
      <fieldsUsage count="2">
        <fieldUsage x="-1"/>
        <fieldUsage x="1"/>
      </fieldsUsage>
    </cacheHierarchy>
    <cacheHierarchy uniqueName="[DimAccount].[Account Key]" caption="Account Key" attribute="1" keyAttribute="1" defaultMemberUniqueName="[DimAccount].[Account Key].[All]" allUniqueName="[DimAccount].[Account Key].[All]" dimensionUniqueName="[DimAccount]" displayFolder="" count="0" unbalanced="0"/>
    <cacheHierarchy uniqueName="[DimAccount].[Account Type]" caption="Account Type" attribute="1" defaultMemberUniqueName="[DimAccount].[Account Type].[All]" allUniqueName="[DimAccount].[Account Type].[All]" dimensionUniqueName="[DimAccount]" displayFolder="" count="0" unbalanced="0"/>
    <cacheHierarchy uniqueName="[DimDate].[Calendar Quarter]" caption="Calendar Quarter" attribute="1" defaultMemberUniqueName="[DimDate].[Calendar Quarter].[All]" allUniqueName="[DimDate].[Calendar Quarter].[All]" dimensionUniqueName="[DimDate]" displayFolder="" count="2" unbalanced="0">
      <fieldsUsage count="2">
        <fieldUsage x="-1"/>
        <fieldUsage x="2"/>
      </fieldsUsage>
    </cacheHierarchy>
    <cacheHierarchy uniqueName="[DimDate].[Calendar Year]" caption="Calendar Year" attribute="1" defaultMemberUniqueName="[DimDate].[Calendar Year].[All]" allUniqueName="[DimDate].[Calendar Year].[All]" dimensionUniqueName="[DimDate]" displayFolder="" count="0" unbalanced="0"/>
    <cacheHierarchy uniqueName="[DimDate].[Date Key]" caption="Date Key" attribute="1" keyAttribute="1" defaultMemberUniqueName="[DimDate].[Date Key].[All]" allUniqueName="[DimDate].[Date Key].[All]" dimensionUniqueName="[DimDate]" displayFolder="" count="0" unbalanced="0"/>
    <cacheHierarchy uniqueName="[DimDate].[English Day Name Of Week]" caption="English Day Name Of Week" attribute="1" defaultMemberUniqueName="[DimDate].[English Day Name Of Week].[All]" allUniqueName="[DimDate].[English Day Name Of Week].[All]" dimensionUniqueName="[DimDate]" displayFolder="" count="0" unbalanced="0"/>
    <cacheHierarchy uniqueName="[DimDate].[English Month Name]" caption="English Month Name" attribute="1" defaultMemberUniqueName="[DimDate].[English Month Name].[All]" allUniqueName="[DimDate].[English Month Name].[All]" dimensionUniqueName="[DimDate]" displayFolder="" count="0" unbalanced="0"/>
    <cacheHierarchy uniqueName="[DimDate].[Week Number Of Year]" caption="Week Number Of Year" attribute="1" defaultMemberUniqueName="[DimDate].[Week Number Of Year].[All]" allUniqueName="[DimDate].[Week Number Of Year].[All]" dimensionUniqueName="[DimDate]" displayFolder="" count="0" unbalanced="0"/>
    <cacheHierarchy uniqueName="[DimOrganization].[Organization Key]" caption="Organization Key" attribute="1" keyAttribute="1" defaultMemberUniqueName="[DimOrganization].[Organization Key].[All]" allUniqueName="[DimOrganization].[Organization Key].[All]" dimensionUniqueName="[DimOrganization]" displayFolder="" count="0" unbalanced="0"/>
    <cacheHierarchy uniqueName="[DimOrganization].[Organization Name]" caption="Organization Name" attribute="1" defaultMemberUniqueName="[DimOrganization].[Organization Name].[All]" allUniqueName="[DimOrganization].[Organization Name].[All]" dimensionUniqueName="[DimOrganization]" displayFolder="" count="0" unbalanced="0"/>
    <cacheHierarchy uniqueName="[Measures].[Finance Key]" caption="Finance Key" measure="1" displayFolder="" measureGroup="Fact Finance" count="0"/>
    <cacheHierarchy uniqueName="[Measures].[Department Group Key]" caption="Department Group Key" measure="1" displayFolder="" measureGroup="Fact Finance" count="0"/>
    <cacheHierarchy uniqueName="[Measures].[Scenario Key]" caption="Scenario Key" measure="1" displayFolder="" measureGroup="Fact Finance" count="0"/>
    <cacheHierarchy uniqueName="[Measures].[Amount]" caption="Amount" measure="1" displayFolder="" measureGroup="Fact Finance" count="0" oneField="1">
      <fieldsUsage count="1">
        <fieldUsage x="0"/>
      </fieldsUsage>
    </cacheHierarchy>
    <cacheHierarchy uniqueName="[Measures].[Fact Finance Count]" caption="Fact Finance Count" measure="1" displayFolder="" measureGroup="Fact Finance" count="0"/>
  </cacheHierarchies>
  <kpis count="0"/>
  <dimensions count="4">
    <dimension name="DimAccount" uniqueName="[DimAccount]" caption="DimAccount"/>
    <dimension name="DimDate" uniqueName="[DimDate]" caption="DimDate"/>
    <dimension name="DimOrganization" uniqueName="[DimOrganization]" caption="DimOrganization"/>
    <dimension measure="1" name="Measures" uniqueName="[Measures]" caption="Measures"/>
  </dimensions>
  <measureGroups count="1">
    <measureGroup name="Fact Finance" caption="Fact Finance"/>
  </measureGroups>
  <maps count="3">
    <map measureGroup="0" dimension="0"/>
    <map measureGroup="0" dimension="1"/>
    <map measureGroup="0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5780.892045717592" backgroundQuery="1" createdVersion="8" refreshedVersion="8" minRefreshableVersion="3" recordCount="0" supportSubquery="1" supportAdvancedDrill="1" xr:uid="{01B2B1CD-4F6A-4512-ACB7-9F743388B945}">
  <cacheSource type="external" connectionId="3"/>
  <cacheFields count="3">
    <cacheField name="[Measures].[Amount]" caption="Amount" numFmtId="0" hierarchy="15" level="32767"/>
    <cacheField name="[DimAccount].[Account Code Alternate Key].[Account Code Alternate Key]" caption="Account Code Alternate Key" numFmtId="0" level="1">
      <sharedItems count="71">
        <s v="[DimAccount].[Account Code Alternate Key].&amp;[1110]" c="1110"/>
        <s v="[DimAccount].[Account Code Alternate Key].&amp;[1130]" c="1130"/>
        <s v="[DimAccount].[Account Code Alternate Key].&amp;[1140]" c="1140"/>
        <s v="[DimAccount].[Account Code Alternate Key].&amp;[1150]" c="1150"/>
        <s v="[DimAccount].[Account Code Alternate Key].&amp;[1162]" c="1162"/>
        <s v="[DimAccount].[Account Code Alternate Key].&amp;[1164]" c="1164"/>
        <s v="[DimAccount].[Account Code Alternate Key].&amp;[1166]" c="1166"/>
        <s v="[DimAccount].[Account Code Alternate Key].&amp;[1170]" c="1170"/>
        <s v="[DimAccount].[Account Code Alternate Key].&amp;[1180]" c="1180"/>
        <s v="[DimAccount].[Account Code Alternate Key].&amp;[1185]" c="1185"/>
        <s v="[DimAccount].[Account Code Alternate Key].&amp;[1210]" c="1210"/>
        <s v="[DimAccount].[Account Code Alternate Key].&amp;[1220]" c="1220"/>
        <s v="[DimAccount].[Account Code Alternate Key].&amp;[1230]" c="1230"/>
        <s v="[DimAccount].[Account Code Alternate Key].&amp;[1240]" c="1240"/>
        <s v="[DimAccount].[Account Code Alternate Key].&amp;[1250]" c="1250"/>
        <s v="[DimAccount].[Account Code Alternate Key].&amp;[1260]" c="1260"/>
        <s v="[DimAccount].[Account Code Alternate Key].&amp;[1300]" c="1300"/>
        <s v="[DimAccount].[Account Code Alternate Key].&amp;[2210]" c="2210"/>
        <s v="[DimAccount].[Account Code Alternate Key].&amp;[2220]" c="2220"/>
        <s v="[DimAccount].[Account Code Alternate Key].&amp;[2230]" c="2230"/>
        <s v="[DimAccount].[Account Code Alternate Key].&amp;[2310]" c="2310"/>
        <s v="[DimAccount].[Account Code Alternate Key].&amp;[2320]" c="2320"/>
        <s v="[DimAccount].[Account Code Alternate Key].&amp;[2330]" c="2330"/>
        <s v="[DimAccount].[Account Code Alternate Key].&amp;[2340]" c="2340"/>
        <s v="[DimAccount].[Account Code Alternate Key].&amp;[2350]" c="2350"/>
        <s v="[DimAccount].[Account Code Alternate Key].&amp;[2410]" c="2410"/>
        <s v="[DimAccount].[Account Code Alternate Key].&amp;[2420]" c="2420"/>
        <s v="[DimAccount].[Account Code Alternate Key].&amp;[2430]" c="2430"/>
        <s v="[DimAccount].[Account Code Alternate Key].&amp;[2440]" c="2440"/>
        <s v="[DimAccount].[Account Code Alternate Key].&amp;[3010]" c="3010"/>
        <s v="[DimAccount].[Account Code Alternate Key].&amp;[3020]" c="3020"/>
        <s v="[DimAccount].[Account Code Alternate Key].&amp;[3540]" c="3540"/>
        <s v="[DimAccount].[Account Code Alternate Key].&amp;[3550]" c="3550"/>
        <s v="[DimAccount].[Account Code Alternate Key].&amp;[4130]" c="4130"/>
        <s v="[DimAccount].[Account Code Alternate Key].&amp;[4140]" c="4140"/>
        <s v="[DimAccount].[Account Code Alternate Key].&amp;[4200]" c="4200"/>
        <s v="[DimAccount].[Account Code Alternate Key].&amp;[4500]" c="4500"/>
        <s v="[DimAccount].[Account Code Alternate Key].&amp;[5020]" c="5020"/>
        <s v="[DimAccount].[Account Code Alternate Key].&amp;[5050]" c="5050"/>
        <s v="[DimAccount].[Account Code Alternate Key].&amp;[6000]" c="6000"/>
        <s v="[DimAccount].[Account Code Alternate Key].&amp;[6020]" c="6020"/>
        <s v="[DimAccount].[Account Code Alternate Key].&amp;[6040]" c="6040"/>
        <s v="[DimAccount].[Account Code Alternate Key].&amp;[6100]" c="6100"/>
        <s v="[DimAccount].[Account Code Alternate Key].&amp;[6200]" c="6200"/>
        <s v="[DimAccount].[Account Code Alternate Key].&amp;[6210]" c="6210"/>
        <s v="[DimAccount].[Account Code Alternate Key].&amp;[6220]" c="6220"/>
        <s v="[DimAccount].[Account Code Alternate Key].&amp;[6230]" c="6230"/>
        <s v="[DimAccount].[Account Code Alternate Key].&amp;[6240]" c="6240"/>
        <s v="[DimAccount].[Account Code Alternate Key].&amp;[6300]" c="6300"/>
        <s v="[DimAccount].[Account Code Alternate Key].&amp;[6310]" c="6310"/>
        <s v="[DimAccount].[Account Code Alternate Key].&amp;[6400]" c="6400"/>
        <s v="[DimAccount].[Account Code Alternate Key].&amp;[6500]" c="6500"/>
        <s v="[DimAccount].[Account Code Alternate Key].&amp;[6610]" c="6610"/>
        <s v="[DimAccount].[Account Code Alternate Key].&amp;[6620]" c="6620"/>
        <s v="[DimAccount].[Account Code Alternate Key].&amp;[6700]" c="6700"/>
        <s v="[DimAccount].[Account Code Alternate Key].&amp;[6810]" c="6810"/>
        <s v="[DimAccount].[Account Code Alternate Key].&amp;[6820]" c="6820"/>
        <s v="[DimAccount].[Account Code Alternate Key].&amp;[6830]" c="6830"/>
        <s v="[DimAccount].[Account Code Alternate Key].&amp;[6840]" c="6840"/>
        <s v="[DimAccount].[Account Code Alternate Key].&amp;[6850]" c="6850"/>
        <s v="[DimAccount].[Account Code Alternate Key].&amp;[6860]" c="6860"/>
        <s v="[DimAccount].[Account Code Alternate Key].&amp;[6920]" c="6920"/>
        <s v="[DimAccount].[Account Code Alternate Key].&amp;[8000]" c="8000"/>
        <s v="[DimAccount].[Account Code Alternate Key].&amp;[8010]" c="8010"/>
        <s v="[DimAccount].[Account Code Alternate Key].&amp;[8020]" c="8020"/>
        <s v="[DimAccount].[Account Code Alternate Key].&amp;[8030]" c="8030"/>
        <s v="[DimAccount].[Account Code Alternate Key].&amp;[8040]" c="8040"/>
        <s v="[DimAccount].[Account Code Alternate Key].&amp;[8500]" c="8500"/>
        <s v="[DimAccount].[Account Code Alternate Key].&amp;[9510]" c="9510"/>
        <s v="[DimAccount].[Account Code Alternate Key].&amp;[9520]" c="9520"/>
        <s v="[DimAccount].[Account Code Alternate Key].&amp;[9540]" c="9540"/>
      </sharedItems>
    </cacheField>
    <cacheField name="[DimDate].[English Month Name].[English Month Name]" caption="English Month Name" numFmtId="0" hierarchy="8" level="1">
      <sharedItems count="12">
        <s v="[DimDate].[English Month Name].&amp;[April]" c="April"/>
        <s v="[DimDate].[English Month Name].&amp;[August]" c="August"/>
        <s v="[DimDate].[English Month Name].&amp;[December]" c="December"/>
        <s v="[DimDate].[English Month Name].&amp;[February]" c="February"/>
        <s v="[DimDate].[English Month Name].&amp;[January]" c="January"/>
        <s v="[DimDate].[English Month Name].&amp;[July]" c="July"/>
        <s v="[DimDate].[English Month Name].&amp;[June]" c="June"/>
        <s v="[DimDate].[English Month Name].&amp;[March]" c="March"/>
        <s v="[DimDate].[English Month Name].&amp;[May]" c="May"/>
        <s v="[DimDate].[English Month Name].&amp;[November]" c="November"/>
        <s v="[DimDate].[English Month Name].&amp;[October]" c="October"/>
        <s v="[DimDate].[English Month Name].&amp;[September]" c="September"/>
      </sharedItems>
    </cacheField>
  </cacheFields>
  <cacheHierarchies count="17">
    <cacheHierarchy uniqueName="[DimAccount].[Account Code Alternate Key]" caption="Account Code Alternate Key" attribute="1" defaultMemberUniqueName="[DimAccount].[Account Code Alternate Key].[All]" allUniqueName="[DimAccount].[Account Code Alternate Key].[All]" dimensionUniqueName="[DimAccount]" displayFolder="" count="2" unbalanced="0">
      <fieldsUsage count="2">
        <fieldUsage x="-1"/>
        <fieldUsage x="1"/>
      </fieldsUsage>
    </cacheHierarchy>
    <cacheHierarchy uniqueName="[DimAccount].[Account Description]" caption="Account Description" attribute="1" defaultMemberUniqueName="[DimAccount].[Account Description].[All]" allUniqueName="[DimAccount].[Account Description].[All]" dimensionUniqueName="[DimAccount]" displayFolder="" count="0" unbalanced="0"/>
    <cacheHierarchy uniqueName="[DimAccount].[Account Key]" caption="Account Key" attribute="1" keyAttribute="1" defaultMemberUniqueName="[DimAccount].[Account Key].[All]" allUniqueName="[DimAccount].[Account Key].[All]" dimensionUniqueName="[DimAccount]" displayFolder="" count="0" unbalanced="0"/>
    <cacheHierarchy uniqueName="[DimAccount].[Account Type]" caption="Account Type" attribute="1" defaultMemberUniqueName="[DimAccount].[Account Type].[All]" allUniqueName="[DimAccount].[Account Type].[All]" dimensionUniqueName="[DimAccount]" displayFolder="" count="0" unbalanced="0"/>
    <cacheHierarchy uniqueName="[DimDate].[Calendar Quarter]" caption="Calendar Quarter" attribute="1" defaultMemberUniqueName="[DimDate].[Calendar Quarter].[All]" allUniqueName="[DimDate].[Calendar Quarter].[All]" dimensionUniqueName="[DimDate]" displayFolder="" count="0" unbalanced="0"/>
    <cacheHierarchy uniqueName="[DimDate].[Calendar Year]" caption="Calendar Year" attribute="1" defaultMemberUniqueName="[DimDate].[Calendar Year].[All]" allUniqueName="[DimDate].[Calendar Year].[All]" dimensionUniqueName="[DimDate]" displayFolder="" count="0" unbalanced="0"/>
    <cacheHierarchy uniqueName="[DimDate].[Date Key]" caption="Date Key" attribute="1" keyAttribute="1" defaultMemberUniqueName="[DimDate].[Date Key].[All]" allUniqueName="[DimDate].[Date Key].[All]" dimensionUniqueName="[DimDate]" displayFolder="" count="0" unbalanced="0"/>
    <cacheHierarchy uniqueName="[DimDate].[English Day Name Of Week]" caption="English Day Name Of Week" attribute="1" defaultMemberUniqueName="[DimDate].[English Day Name Of Week].[All]" allUniqueName="[DimDate].[English Day Name Of Week].[All]" dimensionUniqueName="[DimDate]" displayFolder="" count="0" unbalanced="0"/>
    <cacheHierarchy uniqueName="[DimDate].[English Month Name]" caption="English Month Name" attribute="1" defaultMemberUniqueName="[DimDate].[English Month Name].[All]" allUniqueName="[DimDate].[English Month Name].[All]" dimensionUniqueName="[DimDate]" displayFolder="" count="2" unbalanced="0">
      <fieldsUsage count="2">
        <fieldUsage x="-1"/>
        <fieldUsage x="2"/>
      </fieldsUsage>
    </cacheHierarchy>
    <cacheHierarchy uniqueName="[DimDate].[Week Number Of Year]" caption="Week Number Of Year" attribute="1" defaultMemberUniqueName="[DimDate].[Week Number Of Year].[All]" allUniqueName="[DimDate].[Week Number Of Year].[All]" dimensionUniqueName="[DimDate]" displayFolder="" count="0" unbalanced="0"/>
    <cacheHierarchy uniqueName="[DimOrganization].[Organization Key]" caption="Organization Key" attribute="1" keyAttribute="1" defaultMemberUniqueName="[DimOrganization].[Organization Key].[All]" allUniqueName="[DimOrganization].[Organization Key].[All]" dimensionUniqueName="[DimOrganization]" displayFolder="" count="0" unbalanced="0"/>
    <cacheHierarchy uniqueName="[DimOrganization].[Organization Name]" caption="Organization Name" attribute="1" defaultMemberUniqueName="[DimOrganization].[Organization Name].[All]" allUniqueName="[DimOrganization].[Organization Name].[All]" dimensionUniqueName="[DimOrganization]" displayFolder="" count="0" unbalanced="0"/>
    <cacheHierarchy uniqueName="[Measures].[Finance Key]" caption="Finance Key" measure="1" displayFolder="" measureGroup="Fact Finance" count="0"/>
    <cacheHierarchy uniqueName="[Measures].[Department Group Key]" caption="Department Group Key" measure="1" displayFolder="" measureGroup="Fact Finance" count="0"/>
    <cacheHierarchy uniqueName="[Measures].[Scenario Key]" caption="Scenario Key" measure="1" displayFolder="" measureGroup="Fact Finance" count="0"/>
    <cacheHierarchy uniqueName="[Measures].[Amount]" caption="Amount" measure="1" displayFolder="" measureGroup="Fact Finance" count="0" oneField="1">
      <fieldsUsage count="1">
        <fieldUsage x="0"/>
      </fieldsUsage>
    </cacheHierarchy>
    <cacheHierarchy uniqueName="[Measures].[Fact Finance Count]" caption="Fact Finance Count" measure="1" displayFolder="" measureGroup="Fact Finance" count="0"/>
  </cacheHierarchies>
  <kpis count="0"/>
  <dimensions count="4">
    <dimension name="DimAccount" uniqueName="[DimAccount]" caption="DimAccount"/>
    <dimension name="DimDate" uniqueName="[DimDate]" caption="DimDate"/>
    <dimension name="DimOrganization" uniqueName="[DimOrganization]" caption="DimOrganization"/>
    <dimension measure="1" name="Measures" uniqueName="[Measures]" caption="Measures"/>
  </dimensions>
  <measureGroups count="1">
    <measureGroup name="Fact Finance" caption="Fact Finance"/>
  </measureGroups>
  <maps count="3">
    <map measureGroup="0" dimension="0"/>
    <map measureGroup="0" dimension="1"/>
    <map measureGroup="0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7B7497-2D1B-4496-A2CE-440452EF3E18}" name="PivotTable4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fieldListSortAscending="1">
  <location ref="A1:F12" firstHeaderRow="1" firstDataRow="2" firstDataCol="1"/>
  <pivotFields count="3">
    <pivotField axis="axisCol" allDrilled="1" showAll="0" dataSourceSort="1" defaultAttributeDrillState="1">
      <items count="5">
        <item x="0"/>
        <item x="1"/>
        <item x="2"/>
        <item x="3"/>
        <item t="default"/>
      </items>
    </pivotField>
    <pivotField axis="axisRow" allDrilled="1" showAll="0" dataSourceSort="1" defaultAttributeDrillState="1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fld="2" baseField="0" baseItem="0"/>
  </dataFields>
  <pivotHierarchies count="17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colHierarchiesUsage count="1">
    <colHierarchyUsage hierarchyUsage="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C36DF9-36BD-42ED-9BFF-32D4BFFD4F80}" name="PivotTable5" cacheId="8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fieldListSortAscending="1">
  <location ref="A1:F73" firstHeaderRow="1" firstDataRow="2" firstDataCol="1"/>
  <pivotFields count="3">
    <pivotField dataField="1" showAll="0"/>
    <pivotField axis="axisRow" allDrilled="1" showAll="0" dataSourceSort="1" defaultAttributeDrillState="1">
      <items count="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axis="axisCol" allDrilled="1" showAll="0" dataSourceSort="1" defaultAttributeDrillState="1">
      <items count="5">
        <item x="0"/>
        <item x="1"/>
        <item x="2"/>
        <item x="3"/>
        <item t="default"/>
      </items>
    </pivotField>
  </pivotFields>
  <rowFields count="1">
    <field x="1"/>
  </rowFields>
  <rowItems count="7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fld="0" baseField="0" baseItem="0"/>
  </dataFields>
  <pivotHierarchies count="17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F1783A-F859-435E-8593-30D78654E020}" name="PivotTable6" cacheId="9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fieldListSortAscending="1">
  <location ref="A1:N74" firstHeaderRow="1" firstDataRow="2" firstDataCol="1"/>
  <pivotFields count="3">
    <pivotField dataField="1" showAll="0"/>
    <pivotField axis="axisRow" allDrilled="1" showAll="0" dataSourceSort="1" defaultAttributeDrillState="1">
      <items count="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axis="axisCol" allDrilled="1" showAll="0" dataSourceSort="1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1"/>
  </rowFields>
  <rowItems count="7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 t="grand">
      <x/>
    </i>
  </rowItems>
  <colFields count="1">
    <field x="2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fld="0" baseField="0" baseItem="0"/>
  </dataFields>
  <pivotHierarchies count="17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FBD2C-8552-4C4D-8253-5DBC4D3BC96A}">
  <dimension ref="A1:F12"/>
  <sheetViews>
    <sheetView workbookViewId="0"/>
  </sheetViews>
  <sheetFormatPr defaultRowHeight="14.4" x14ac:dyDescent="0.3"/>
  <cols>
    <col min="1" max="1" width="16.5546875" bestFit="1" customWidth="1"/>
    <col min="2" max="2" width="15.5546875" bestFit="1" customWidth="1"/>
    <col min="3" max="6" width="12" bestFit="1" customWidth="1"/>
    <col min="7" max="7" width="15.5546875" bestFit="1" customWidth="1"/>
    <col min="8" max="8" width="10.77734375" bestFit="1" customWidth="1"/>
  </cols>
  <sheetData>
    <row r="1" spans="1:6" x14ac:dyDescent="0.3">
      <c r="A1" s="1" t="s">
        <v>16</v>
      </c>
      <c r="B1" s="1" t="s">
        <v>0</v>
      </c>
    </row>
    <row r="2" spans="1:6" x14ac:dyDescent="0.3">
      <c r="A2" s="1" t="s">
        <v>2</v>
      </c>
      <c r="B2" t="s">
        <v>3</v>
      </c>
      <c r="C2" t="s">
        <v>4</v>
      </c>
      <c r="D2" t="s">
        <v>5</v>
      </c>
      <c r="E2" t="s">
        <v>6</v>
      </c>
      <c r="F2" t="s">
        <v>1</v>
      </c>
    </row>
    <row r="3" spans="1:6" x14ac:dyDescent="0.3">
      <c r="A3" s="2" t="s">
        <v>7</v>
      </c>
      <c r="B3" s="3"/>
      <c r="C3" s="3"/>
      <c r="D3" s="3">
        <v>1392505.8800000001</v>
      </c>
      <c r="E3" s="3">
        <v>34160569.109999977</v>
      </c>
      <c r="F3" s="3">
        <v>35553074.98999998</v>
      </c>
    </row>
    <row r="4" spans="1:6" x14ac:dyDescent="0.3">
      <c r="A4" s="2" t="s">
        <v>8</v>
      </c>
      <c r="B4" s="3">
        <v>2922350.5100000007</v>
      </c>
      <c r="C4" s="3">
        <v>78654132.349999949</v>
      </c>
      <c r="D4" s="3">
        <v>107976739.14000015</v>
      </c>
      <c r="E4" s="3">
        <v>102621560.72000031</v>
      </c>
      <c r="F4" s="3">
        <v>292174782.72000045</v>
      </c>
    </row>
    <row r="5" spans="1:6" x14ac:dyDescent="0.3">
      <c r="A5" s="2" t="s">
        <v>9</v>
      </c>
      <c r="B5" s="3">
        <v>1044994</v>
      </c>
      <c r="C5" s="3">
        <v>45526483.400000006</v>
      </c>
      <c r="D5" s="3">
        <v>52938481.400000006</v>
      </c>
      <c r="E5" s="3">
        <v>49522122.799999997</v>
      </c>
      <c r="F5" s="3">
        <v>149032081.60000002</v>
      </c>
    </row>
    <row r="6" spans="1:6" x14ac:dyDescent="0.3">
      <c r="A6" s="2" t="s">
        <v>10</v>
      </c>
      <c r="B6" s="3"/>
      <c r="C6" s="3">
        <v>1565813.8599999999</v>
      </c>
      <c r="D6" s="3">
        <v>21786845.650000028</v>
      </c>
      <c r="E6" s="3">
        <v>43611140.449999973</v>
      </c>
      <c r="F6" s="3">
        <v>66963799.960000001</v>
      </c>
    </row>
    <row r="7" spans="1:6" x14ac:dyDescent="0.3">
      <c r="A7" s="2" t="s">
        <v>11</v>
      </c>
      <c r="B7" s="3"/>
      <c r="C7" s="3">
        <v>246705.58000000005</v>
      </c>
      <c r="D7" s="3">
        <v>4288252.410000002</v>
      </c>
      <c r="E7" s="3">
        <v>25804846.039999973</v>
      </c>
      <c r="F7" s="3">
        <v>30339804.029999975</v>
      </c>
    </row>
    <row r="8" spans="1:6" x14ac:dyDescent="0.3">
      <c r="A8" s="2" t="s">
        <v>12</v>
      </c>
      <c r="B8" s="3">
        <v>1332143</v>
      </c>
      <c r="C8" s="3">
        <v>31684706</v>
      </c>
      <c r="D8" s="3">
        <v>57591781.400000006</v>
      </c>
      <c r="E8" s="3">
        <v>43394716</v>
      </c>
      <c r="F8" s="3">
        <v>134003346.40000001</v>
      </c>
    </row>
    <row r="9" spans="1:6" x14ac:dyDescent="0.3">
      <c r="A9" s="2" t="s">
        <v>13</v>
      </c>
      <c r="B9" s="3">
        <v>1733393</v>
      </c>
      <c r="C9" s="3">
        <v>39142345</v>
      </c>
      <c r="D9" s="3">
        <v>38434641.200000003</v>
      </c>
      <c r="E9" s="3">
        <v>59612509.599999994</v>
      </c>
      <c r="F9" s="3">
        <v>138922888.80000001</v>
      </c>
    </row>
    <row r="10" spans="1:6" x14ac:dyDescent="0.3">
      <c r="A10" s="2" t="s">
        <v>14</v>
      </c>
      <c r="B10" s="3">
        <v>3014131</v>
      </c>
      <c r="C10" s="3">
        <v>82224980</v>
      </c>
      <c r="D10" s="3">
        <v>92428276.599999994</v>
      </c>
      <c r="E10" s="3">
        <v>101617276</v>
      </c>
      <c r="F10" s="3">
        <v>279284663.60000002</v>
      </c>
    </row>
    <row r="11" spans="1:6" x14ac:dyDescent="0.3">
      <c r="A11" s="2" t="s">
        <v>15</v>
      </c>
      <c r="B11" s="3">
        <v>1337873</v>
      </c>
      <c r="C11" s="3">
        <v>62117393.599999994</v>
      </c>
      <c r="D11" s="3">
        <v>87276465.199999988</v>
      </c>
      <c r="E11" s="3">
        <v>81634238.800000012</v>
      </c>
      <c r="F11" s="3">
        <v>232365970.59999999</v>
      </c>
    </row>
    <row r="12" spans="1:6" x14ac:dyDescent="0.3">
      <c r="A12" s="2" t="s">
        <v>1</v>
      </c>
      <c r="B12" s="3">
        <v>11384884.509999994</v>
      </c>
      <c r="C12" s="3">
        <v>341162559.79000044</v>
      </c>
      <c r="D12" s="3">
        <v>464113988.88000041</v>
      </c>
      <c r="E12" s="3">
        <v>541978979.51999974</v>
      </c>
      <c r="F12" s="3">
        <v>1358640412.700001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05CB2-2397-47CC-ABED-CB3A720422AE}">
  <dimension ref="A1:F73"/>
  <sheetViews>
    <sheetView workbookViewId="0">
      <selection activeCell="J15" sqref="J15"/>
    </sheetView>
  </sheetViews>
  <sheetFormatPr defaultRowHeight="14.4" x14ac:dyDescent="0.3"/>
  <cols>
    <col min="1" max="1" width="33.44140625" bestFit="1" customWidth="1"/>
    <col min="2" max="2" width="15.5546875" bestFit="1" customWidth="1"/>
    <col min="3" max="6" width="12" bestFit="1" customWidth="1"/>
  </cols>
  <sheetData>
    <row r="1" spans="1:6" x14ac:dyDescent="0.3">
      <c r="A1" s="1" t="s">
        <v>16</v>
      </c>
      <c r="B1" s="1" t="s">
        <v>0</v>
      </c>
    </row>
    <row r="2" spans="1:6" x14ac:dyDescent="0.3">
      <c r="A2" s="1" t="s">
        <v>2</v>
      </c>
      <c r="B2" t="s">
        <v>87</v>
      </c>
      <c r="C2" t="s">
        <v>88</v>
      </c>
      <c r="D2" t="s">
        <v>89</v>
      </c>
      <c r="E2" t="s">
        <v>90</v>
      </c>
      <c r="F2" t="s">
        <v>1</v>
      </c>
    </row>
    <row r="3" spans="1:6" x14ac:dyDescent="0.3">
      <c r="A3" s="2" t="s">
        <v>17</v>
      </c>
      <c r="B3" s="3">
        <v>11700685.309999999</v>
      </c>
      <c r="C3" s="3">
        <v>10548037.449999999</v>
      </c>
      <c r="D3" s="3">
        <v>12454808.779999997</v>
      </c>
      <c r="E3" s="3">
        <v>11551889.329999996</v>
      </c>
      <c r="F3" s="3">
        <v>46255420.869999997</v>
      </c>
    </row>
    <row r="4" spans="1:6" x14ac:dyDescent="0.3">
      <c r="A4" s="2" t="s">
        <v>18</v>
      </c>
      <c r="B4" s="3">
        <v>81078898.100000009</v>
      </c>
      <c r="C4" s="3">
        <v>50916581.659999982</v>
      </c>
      <c r="D4" s="3">
        <v>30193318.400000006</v>
      </c>
      <c r="E4" s="3">
        <v>20463699.369999997</v>
      </c>
      <c r="F4" s="3">
        <v>182652497.52999988</v>
      </c>
    </row>
    <row r="5" spans="1:6" x14ac:dyDescent="0.3">
      <c r="A5" s="2" t="s">
        <v>19</v>
      </c>
      <c r="B5" s="3">
        <v>906699.52000000014</v>
      </c>
      <c r="C5" s="3">
        <v>790050.09999999986</v>
      </c>
      <c r="D5" s="3">
        <v>774315.54</v>
      </c>
      <c r="E5" s="3">
        <v>758159.08</v>
      </c>
      <c r="F5" s="3">
        <v>3229224.2400000007</v>
      </c>
    </row>
    <row r="6" spans="1:6" x14ac:dyDescent="0.3">
      <c r="A6" s="2" t="s">
        <v>20</v>
      </c>
      <c r="B6" s="3">
        <v>32158.84</v>
      </c>
      <c r="C6" s="3">
        <v>28441.039999999994</v>
      </c>
      <c r="D6" s="3">
        <v>35403.949999999997</v>
      </c>
      <c r="E6" s="3">
        <v>39906.85</v>
      </c>
      <c r="F6" s="3">
        <v>135910.67999999996</v>
      </c>
    </row>
    <row r="7" spans="1:6" x14ac:dyDescent="0.3">
      <c r="A7" s="2" t="s">
        <v>21</v>
      </c>
      <c r="B7" s="3">
        <v>182914.93000000002</v>
      </c>
      <c r="C7" s="3">
        <v>162513.57999999996</v>
      </c>
      <c r="D7" s="3">
        <v>203863.45999999996</v>
      </c>
      <c r="E7" s="3">
        <v>177866.09999999998</v>
      </c>
      <c r="F7" s="3">
        <v>727158.07</v>
      </c>
    </row>
    <row r="8" spans="1:6" x14ac:dyDescent="0.3">
      <c r="A8" s="2" t="s">
        <v>22</v>
      </c>
      <c r="B8" s="3">
        <v>2665299.870000001</v>
      </c>
      <c r="C8" s="3">
        <v>2466042.4700000007</v>
      </c>
      <c r="D8" s="3">
        <v>2864557.2700000005</v>
      </c>
      <c r="E8" s="3">
        <v>2665299.870000001</v>
      </c>
      <c r="F8" s="3">
        <v>10661199.479999987</v>
      </c>
    </row>
    <row r="9" spans="1:6" x14ac:dyDescent="0.3">
      <c r="A9" s="2" t="s">
        <v>23</v>
      </c>
      <c r="B9" s="3">
        <v>40866819.459999993</v>
      </c>
      <c r="C9" s="3">
        <v>35522274.259999998</v>
      </c>
      <c r="D9" s="3">
        <v>33165206.06000001</v>
      </c>
      <c r="E9" s="3">
        <v>37139302.270000003</v>
      </c>
      <c r="F9" s="3">
        <v>146693602.04999992</v>
      </c>
    </row>
    <row r="10" spans="1:6" x14ac:dyDescent="0.3">
      <c r="A10" s="2" t="s">
        <v>24</v>
      </c>
      <c r="B10" s="3">
        <v>1131995.7999999998</v>
      </c>
      <c r="C10" s="3">
        <v>874152.94999999984</v>
      </c>
      <c r="D10" s="3">
        <v>996462.84</v>
      </c>
      <c r="E10" s="3">
        <v>973992.0199999999</v>
      </c>
      <c r="F10" s="3">
        <v>3976603.6100000008</v>
      </c>
    </row>
    <row r="11" spans="1:6" x14ac:dyDescent="0.3">
      <c r="A11" s="2" t="s">
        <v>25</v>
      </c>
      <c r="B11" s="3">
        <v>16667.129999999997</v>
      </c>
      <c r="C11" s="3">
        <v>14880.46</v>
      </c>
      <c r="D11" s="3">
        <v>19545.309999999998</v>
      </c>
      <c r="E11" s="3">
        <v>17042</v>
      </c>
      <c r="F11" s="3">
        <v>68134.899999999965</v>
      </c>
    </row>
    <row r="12" spans="1:6" x14ac:dyDescent="0.3">
      <c r="A12" s="2" t="s">
        <v>26</v>
      </c>
      <c r="B12" s="3">
        <v>295697.86999999994</v>
      </c>
      <c r="C12" s="3">
        <v>274140.48999999987</v>
      </c>
      <c r="D12" s="3">
        <v>318256.08999999991</v>
      </c>
      <c r="E12" s="3">
        <v>295926.12</v>
      </c>
      <c r="F12" s="3">
        <v>1184020.5700000005</v>
      </c>
    </row>
    <row r="13" spans="1:6" x14ac:dyDescent="0.3">
      <c r="A13" s="2" t="s">
        <v>27</v>
      </c>
      <c r="B13" s="3"/>
      <c r="C13" s="3"/>
      <c r="D13" s="3"/>
      <c r="E13" s="3">
        <v>86484</v>
      </c>
      <c r="F13" s="3">
        <v>86484</v>
      </c>
    </row>
    <row r="14" spans="1:6" x14ac:dyDescent="0.3">
      <c r="A14" s="2" t="s">
        <v>28</v>
      </c>
      <c r="B14" s="3">
        <v>1306302.2700000003</v>
      </c>
      <c r="C14" s="3">
        <v>1237407.8400000001</v>
      </c>
      <c r="D14" s="3">
        <v>1422094.81</v>
      </c>
      <c r="E14" s="3">
        <v>1328220.2000000004</v>
      </c>
      <c r="F14" s="3">
        <v>5294025.1199999982</v>
      </c>
    </row>
    <row r="15" spans="1:6" x14ac:dyDescent="0.3">
      <c r="A15" s="2" t="s">
        <v>29</v>
      </c>
      <c r="B15" s="3">
        <v>19892812.310000002</v>
      </c>
      <c r="C15" s="3">
        <v>36583895.409999996</v>
      </c>
      <c r="D15" s="3">
        <v>50346325.329999991</v>
      </c>
      <c r="E15" s="3">
        <v>41135838.460000001</v>
      </c>
      <c r="F15" s="3">
        <v>147958871.50999999</v>
      </c>
    </row>
    <row r="16" spans="1:6" x14ac:dyDescent="0.3">
      <c r="A16" s="2" t="s">
        <v>30</v>
      </c>
      <c r="B16" s="3">
        <v>6697096.6200000001</v>
      </c>
      <c r="C16" s="3">
        <v>5900375.459999999</v>
      </c>
      <c r="D16" s="3">
        <v>5779158.4299999997</v>
      </c>
      <c r="E16" s="3">
        <v>5669713.4300000006</v>
      </c>
      <c r="F16" s="3">
        <v>24046343.93999999</v>
      </c>
    </row>
    <row r="17" spans="1:6" x14ac:dyDescent="0.3">
      <c r="A17" s="2" t="s">
        <v>31</v>
      </c>
      <c r="B17" s="3">
        <v>627746.87000000011</v>
      </c>
      <c r="C17" s="3">
        <v>63520.369999999988</v>
      </c>
      <c r="D17" s="3">
        <v>50127.98000000001</v>
      </c>
      <c r="E17" s="3">
        <v>1774822.93</v>
      </c>
      <c r="F17" s="3">
        <v>2516218.1500000008</v>
      </c>
    </row>
    <row r="18" spans="1:6" x14ac:dyDescent="0.3">
      <c r="A18" s="2" t="s">
        <v>32</v>
      </c>
      <c r="B18" s="3">
        <v>615385.06999999995</v>
      </c>
      <c r="C18" s="3">
        <v>556650.72000000009</v>
      </c>
      <c r="D18" s="3">
        <v>719397.31999999983</v>
      </c>
      <c r="E18" s="3">
        <v>636911.35</v>
      </c>
      <c r="F18" s="3">
        <v>2528344.4600000004</v>
      </c>
    </row>
    <row r="19" spans="1:6" x14ac:dyDescent="0.3">
      <c r="A19" s="2" t="s">
        <v>33</v>
      </c>
      <c r="B19" s="3">
        <v>39320.92</v>
      </c>
      <c r="C19" s="3">
        <v>34356.219999999994</v>
      </c>
      <c r="D19" s="3">
        <v>45378.220000000008</v>
      </c>
      <c r="E19" s="3">
        <v>38439.570000000007</v>
      </c>
      <c r="F19" s="3">
        <v>157494.93000000002</v>
      </c>
    </row>
    <row r="20" spans="1:6" x14ac:dyDescent="0.3">
      <c r="A20" s="2" t="s">
        <v>34</v>
      </c>
      <c r="B20" s="3">
        <v>11614.289999999997</v>
      </c>
      <c r="C20" s="3">
        <v>10234.840000000004</v>
      </c>
      <c r="D20" s="3">
        <v>12924.769999999999</v>
      </c>
      <c r="E20" s="3">
        <v>11291.480000000001</v>
      </c>
      <c r="F20" s="3">
        <v>46065.380000000005</v>
      </c>
    </row>
    <row r="21" spans="1:6" x14ac:dyDescent="0.3">
      <c r="A21" s="2" t="s">
        <v>35</v>
      </c>
      <c r="B21" s="3">
        <v>9611011.370000001</v>
      </c>
      <c r="C21" s="3">
        <v>8151995.5300000003</v>
      </c>
      <c r="D21" s="3">
        <v>7880745.790000001</v>
      </c>
      <c r="E21" s="3">
        <v>8848914.7300000004</v>
      </c>
      <c r="F21" s="3">
        <v>34492667.419999987</v>
      </c>
    </row>
    <row r="22" spans="1:6" x14ac:dyDescent="0.3">
      <c r="A22" s="2" t="s">
        <v>36</v>
      </c>
      <c r="B22" s="3">
        <v>40392.719999999994</v>
      </c>
      <c r="C22" s="3">
        <v>35955.939999999995</v>
      </c>
      <c r="D22" s="3">
        <v>44797.170000000006</v>
      </c>
      <c r="E22" s="3">
        <v>39014.499999999993</v>
      </c>
      <c r="F22" s="3">
        <v>160160.32999999996</v>
      </c>
    </row>
    <row r="23" spans="1:6" x14ac:dyDescent="0.3">
      <c r="A23" s="2" t="s">
        <v>37</v>
      </c>
      <c r="B23" s="3">
        <v>-45322.249999999993</v>
      </c>
      <c r="C23" s="3">
        <v>-41675.259999999995</v>
      </c>
      <c r="D23" s="3">
        <v>-47865.590000000004</v>
      </c>
      <c r="E23" s="3">
        <v>-45145.579999999994</v>
      </c>
      <c r="F23" s="3">
        <v>-180008.68000000005</v>
      </c>
    </row>
    <row r="24" spans="1:6" x14ac:dyDescent="0.3">
      <c r="A24" s="2" t="s">
        <v>38</v>
      </c>
      <c r="B24" s="3">
        <v>1745</v>
      </c>
      <c r="C24" s="3">
        <v>1622</v>
      </c>
      <c r="D24" s="3">
        <v>1879</v>
      </c>
      <c r="E24" s="3">
        <v>1756</v>
      </c>
      <c r="F24" s="3">
        <v>7002</v>
      </c>
    </row>
    <row r="25" spans="1:6" x14ac:dyDescent="0.3">
      <c r="A25" s="2" t="s">
        <v>39</v>
      </c>
      <c r="B25" s="3">
        <v>1944564.6199999999</v>
      </c>
      <c r="C25" s="3">
        <v>1805362.0900000003</v>
      </c>
      <c r="D25" s="3">
        <v>2073551.8500000003</v>
      </c>
      <c r="E25" s="3">
        <v>1932251.09</v>
      </c>
      <c r="F25" s="3">
        <v>7755729.6499999994</v>
      </c>
    </row>
    <row r="26" spans="1:6" x14ac:dyDescent="0.3">
      <c r="A26" s="2" t="s">
        <v>40</v>
      </c>
      <c r="B26" s="3">
        <v>3175807.83</v>
      </c>
      <c r="C26" s="3">
        <v>2707875.3400000008</v>
      </c>
      <c r="D26" s="3">
        <v>2720271.7899999991</v>
      </c>
      <c r="E26" s="3">
        <v>2667032.4100000006</v>
      </c>
      <c r="F26" s="3">
        <v>11270987.369999994</v>
      </c>
    </row>
    <row r="27" spans="1:6" x14ac:dyDescent="0.3">
      <c r="A27" s="2" t="s">
        <v>41</v>
      </c>
      <c r="B27" s="3">
        <v>9028382.950000003</v>
      </c>
      <c r="C27" s="3">
        <v>7792592.1300000008</v>
      </c>
      <c r="D27" s="3">
        <v>7731772.9600000009</v>
      </c>
      <c r="E27" s="3">
        <v>7553536.2300000014</v>
      </c>
      <c r="F27" s="3">
        <v>32106284.269999996</v>
      </c>
    </row>
    <row r="28" spans="1:6" x14ac:dyDescent="0.3">
      <c r="A28" s="2" t="s">
        <v>42</v>
      </c>
      <c r="B28" s="3">
        <v>1401118.5300000003</v>
      </c>
      <c r="C28" s="3">
        <v>1655657.0399999996</v>
      </c>
      <c r="D28" s="3">
        <v>1326056.7599999995</v>
      </c>
      <c r="E28" s="3">
        <v>1353558.4500000002</v>
      </c>
      <c r="F28" s="3">
        <v>5736390.7800000012</v>
      </c>
    </row>
    <row r="29" spans="1:6" x14ac:dyDescent="0.3">
      <c r="A29" s="2" t="s">
        <v>43</v>
      </c>
      <c r="B29" s="3">
        <v>56832.55</v>
      </c>
      <c r="C29" s="3">
        <v>52269.47</v>
      </c>
      <c r="D29" s="3">
        <v>60010.76999999999</v>
      </c>
      <c r="E29" s="3">
        <v>56610.799999999996</v>
      </c>
      <c r="F29" s="3">
        <v>225723.59000000005</v>
      </c>
    </row>
    <row r="30" spans="1:6" x14ac:dyDescent="0.3">
      <c r="A30" s="2" t="s">
        <v>44</v>
      </c>
      <c r="B30" s="3">
        <v>37011.71</v>
      </c>
      <c r="C30" s="3">
        <v>34037.33</v>
      </c>
      <c r="D30" s="3">
        <v>39082.850000000006</v>
      </c>
      <c r="E30" s="3">
        <v>36870.39</v>
      </c>
      <c r="F30" s="3">
        <v>147002.28</v>
      </c>
    </row>
    <row r="31" spans="1:6" x14ac:dyDescent="0.3">
      <c r="A31" s="2" t="s">
        <v>45</v>
      </c>
      <c r="B31" s="3">
        <v>836421.99000000011</v>
      </c>
      <c r="C31" s="3">
        <v>773890.78</v>
      </c>
      <c r="D31" s="3">
        <v>898953.20000000007</v>
      </c>
      <c r="E31" s="3">
        <v>836421.99000000011</v>
      </c>
      <c r="F31" s="3">
        <v>3345687.959999999</v>
      </c>
    </row>
    <row r="32" spans="1:6" x14ac:dyDescent="0.3">
      <c r="A32" s="2" t="s">
        <v>46</v>
      </c>
      <c r="B32" s="3">
        <v>716172.14000000013</v>
      </c>
      <c r="C32" s="3">
        <v>663096.17000000004</v>
      </c>
      <c r="D32" s="3">
        <v>772819.92999999993</v>
      </c>
      <c r="E32" s="3">
        <v>718639.6</v>
      </c>
      <c r="F32" s="3">
        <v>2870727.8400000017</v>
      </c>
    </row>
    <row r="33" spans="1:6" x14ac:dyDescent="0.3">
      <c r="A33" s="2" t="s">
        <v>47</v>
      </c>
      <c r="B33" s="3">
        <v>8127322.3900000015</v>
      </c>
      <c r="C33" s="3">
        <v>7005917.4200000018</v>
      </c>
      <c r="D33" s="3">
        <v>6595126.3599999994</v>
      </c>
      <c r="E33" s="3">
        <v>7571752.3300000001</v>
      </c>
      <c r="F33" s="3">
        <v>29300118.500000007</v>
      </c>
    </row>
    <row r="34" spans="1:6" x14ac:dyDescent="0.3">
      <c r="A34" s="2" t="s">
        <v>48</v>
      </c>
      <c r="B34" s="3">
        <v>836689.86</v>
      </c>
      <c r="C34" s="3">
        <v>765467.94</v>
      </c>
      <c r="D34" s="3">
        <v>898150.70999999985</v>
      </c>
      <c r="E34" s="3">
        <v>829619.72</v>
      </c>
      <c r="F34" s="3">
        <v>3329928.2300000004</v>
      </c>
    </row>
    <row r="35" spans="1:6" x14ac:dyDescent="0.3">
      <c r="A35" s="2" t="s">
        <v>49</v>
      </c>
      <c r="B35" s="3">
        <v>62923.059999999983</v>
      </c>
      <c r="C35" s="3">
        <v>55978.780000000006</v>
      </c>
      <c r="D35" s="3">
        <v>60985.67</v>
      </c>
      <c r="E35" s="3">
        <v>65104.2</v>
      </c>
      <c r="F35" s="3">
        <v>244991.71000000002</v>
      </c>
    </row>
    <row r="36" spans="1:6" x14ac:dyDescent="0.3">
      <c r="A36" s="2" t="s">
        <v>50</v>
      </c>
      <c r="B36" s="3">
        <v>51882.54</v>
      </c>
      <c r="C36" s="3">
        <v>45476.03</v>
      </c>
      <c r="D36" s="3">
        <v>59666.7</v>
      </c>
      <c r="E36" s="3">
        <v>50422.989999999983</v>
      </c>
      <c r="F36" s="3">
        <v>207448.26</v>
      </c>
    </row>
    <row r="37" spans="1:6" x14ac:dyDescent="0.3">
      <c r="A37" s="2" t="s">
        <v>51</v>
      </c>
      <c r="B37" s="3">
        <v>1332129.5499999998</v>
      </c>
      <c r="C37" s="3">
        <v>1189663.3600000001</v>
      </c>
      <c r="D37" s="3">
        <v>1422844.6</v>
      </c>
      <c r="E37" s="3">
        <v>1308672.5199999996</v>
      </c>
      <c r="F37" s="3">
        <v>5253310.0299999965</v>
      </c>
    </row>
    <row r="38" spans="1:6" x14ac:dyDescent="0.3">
      <c r="A38" s="2" t="s">
        <v>52</v>
      </c>
      <c r="B38" s="3">
        <v>5096318.32</v>
      </c>
      <c r="C38" s="3">
        <v>4750900.6500000004</v>
      </c>
      <c r="D38" s="3">
        <v>5520746.3400000008</v>
      </c>
      <c r="E38" s="3">
        <v>5159588.0199999996</v>
      </c>
      <c r="F38" s="3">
        <v>20527553.329999994</v>
      </c>
    </row>
    <row r="39" spans="1:6" x14ac:dyDescent="0.3">
      <c r="A39" s="2" t="s">
        <v>53</v>
      </c>
      <c r="B39" s="3">
        <v>74604.540000000023</v>
      </c>
      <c r="C39" s="3">
        <v>65218.060000000005</v>
      </c>
      <c r="D39" s="3">
        <v>85371.560000000027</v>
      </c>
      <c r="E39" s="3">
        <v>73003.429999999993</v>
      </c>
      <c r="F39" s="3">
        <v>298197.59000000008</v>
      </c>
    </row>
    <row r="40" spans="1:6" x14ac:dyDescent="0.3">
      <c r="A40" s="2" t="s">
        <v>54</v>
      </c>
      <c r="B40" s="3">
        <v>1534972.96</v>
      </c>
      <c r="C40" s="3">
        <v>1448183.5999999999</v>
      </c>
      <c r="D40" s="3">
        <v>1668214.6199999999</v>
      </c>
      <c r="E40" s="3">
        <v>1567392.9400000002</v>
      </c>
      <c r="F40" s="3">
        <v>6218764.1199999992</v>
      </c>
    </row>
    <row r="41" spans="1:6" x14ac:dyDescent="0.3">
      <c r="A41" s="2" t="s">
        <v>55</v>
      </c>
      <c r="B41" s="3">
        <v>9134035.7599999979</v>
      </c>
      <c r="C41" s="3">
        <v>7763111.6600000001</v>
      </c>
      <c r="D41" s="3">
        <v>7341062.3399999989</v>
      </c>
      <c r="E41" s="3">
        <v>8339233.6100000022</v>
      </c>
      <c r="F41" s="3">
        <v>32577443.370000016</v>
      </c>
    </row>
    <row r="42" spans="1:6" x14ac:dyDescent="0.3">
      <c r="A42" s="2" t="s">
        <v>56</v>
      </c>
      <c r="B42" s="3">
        <v>47650.500000000015</v>
      </c>
      <c r="C42" s="3">
        <v>41980.29</v>
      </c>
      <c r="D42" s="3">
        <v>53256.08</v>
      </c>
      <c r="E42" s="3">
        <v>46151.869999999995</v>
      </c>
      <c r="F42" s="3">
        <v>189038.73999999987</v>
      </c>
    </row>
    <row r="43" spans="1:6" x14ac:dyDescent="0.3">
      <c r="A43" s="2" t="s">
        <v>57</v>
      </c>
      <c r="B43" s="3">
        <v>75794.260000000009</v>
      </c>
      <c r="C43" s="3">
        <v>69705.25999999998</v>
      </c>
      <c r="D43" s="3">
        <v>80024.759999999995</v>
      </c>
      <c r="E43" s="3">
        <v>-2340.8299999999654</v>
      </c>
      <c r="F43" s="3">
        <v>223183.45</v>
      </c>
    </row>
    <row r="44" spans="1:6" x14ac:dyDescent="0.3">
      <c r="A44" s="2" t="s">
        <v>58</v>
      </c>
      <c r="B44" s="3">
        <v>1944044.5599999998</v>
      </c>
      <c r="C44" s="3">
        <v>1736134.2799999998</v>
      </c>
      <c r="D44" s="3">
        <v>2076422.68</v>
      </c>
      <c r="E44" s="3">
        <v>1909805.4300000002</v>
      </c>
      <c r="F44" s="3">
        <v>7666406.9500000002</v>
      </c>
    </row>
    <row r="45" spans="1:6" x14ac:dyDescent="0.3">
      <c r="A45" s="2" t="s">
        <v>59</v>
      </c>
      <c r="B45" s="3">
        <v>1406946.7599999998</v>
      </c>
      <c r="C45" s="3">
        <v>1221354.6500000001</v>
      </c>
      <c r="D45" s="3">
        <v>1208237.8999999999</v>
      </c>
      <c r="E45" s="3">
        <v>1173774.29</v>
      </c>
      <c r="F45" s="3">
        <v>5010313.6000000024</v>
      </c>
    </row>
    <row r="46" spans="1:6" x14ac:dyDescent="0.3">
      <c r="A46" s="2" t="s">
        <v>60</v>
      </c>
      <c r="B46" s="3">
        <v>4696464.8000000007</v>
      </c>
      <c r="C46" s="3">
        <v>4424398.0600000005</v>
      </c>
      <c r="D46" s="3">
        <v>5047902.8599999985</v>
      </c>
      <c r="E46" s="3">
        <v>4762813.9800000004</v>
      </c>
      <c r="F46" s="3">
        <v>18931579.70000001</v>
      </c>
    </row>
    <row r="47" spans="1:6" x14ac:dyDescent="0.3">
      <c r="A47" s="2" t="s">
        <v>61</v>
      </c>
      <c r="B47" s="3">
        <v>9417.8700000000026</v>
      </c>
      <c r="C47" s="3">
        <v>8704.0699999999979</v>
      </c>
      <c r="D47" s="3">
        <v>10584.349999999999</v>
      </c>
      <c r="E47" s="3">
        <v>9134.1999999999989</v>
      </c>
      <c r="F47" s="3">
        <v>37840.49</v>
      </c>
    </row>
    <row r="48" spans="1:6" x14ac:dyDescent="0.3">
      <c r="A48" s="2" t="s">
        <v>62</v>
      </c>
      <c r="B48" s="3"/>
      <c r="C48" s="3"/>
      <c r="D48" s="3"/>
      <c r="E48" s="3">
        <v>8575000</v>
      </c>
      <c r="F48" s="3">
        <v>8575000</v>
      </c>
    </row>
    <row r="49" spans="1:6" x14ac:dyDescent="0.3">
      <c r="A49" s="2" t="s">
        <v>63</v>
      </c>
      <c r="B49" s="3">
        <v>820991.90999999992</v>
      </c>
      <c r="C49" s="3">
        <v>771446.23</v>
      </c>
      <c r="D49" s="3">
        <v>948079.27999999968</v>
      </c>
      <c r="E49" s="3">
        <v>853876.98000000021</v>
      </c>
      <c r="F49" s="3">
        <v>3394394.4</v>
      </c>
    </row>
    <row r="50" spans="1:6" x14ac:dyDescent="0.3">
      <c r="A50" s="2" t="s">
        <v>64</v>
      </c>
      <c r="B50" s="3">
        <v>2055873.4400000004</v>
      </c>
      <c r="C50" s="3">
        <v>1921481.8200000003</v>
      </c>
      <c r="D50" s="3">
        <v>2174149.0899999994</v>
      </c>
      <c r="E50" s="3">
        <v>2042499.6400000004</v>
      </c>
      <c r="F50" s="3">
        <v>8194003.9900000021</v>
      </c>
    </row>
    <row r="51" spans="1:6" x14ac:dyDescent="0.3">
      <c r="A51" s="2" t="s">
        <v>65</v>
      </c>
      <c r="B51" s="3">
        <v>4553947.1000000015</v>
      </c>
      <c r="C51" s="3">
        <v>3933055.34</v>
      </c>
      <c r="D51" s="3">
        <v>3867874.4499999997</v>
      </c>
      <c r="E51" s="3">
        <v>3813984.79</v>
      </c>
      <c r="F51" s="3">
        <v>16168861.679999996</v>
      </c>
    </row>
    <row r="52" spans="1:6" x14ac:dyDescent="0.3">
      <c r="A52" s="2" t="s">
        <v>66</v>
      </c>
      <c r="B52" s="3"/>
      <c r="C52" s="3"/>
      <c r="D52" s="3"/>
      <c r="E52" s="3">
        <v>16465866.52</v>
      </c>
      <c r="F52" s="3">
        <v>16465866.52</v>
      </c>
    </row>
    <row r="53" spans="1:6" x14ac:dyDescent="0.3">
      <c r="A53" s="2" t="s">
        <v>67</v>
      </c>
      <c r="B53" s="3">
        <v>69959.590000000011</v>
      </c>
      <c r="C53" s="3">
        <v>61810.97</v>
      </c>
      <c r="D53" s="3">
        <v>78353.690000000017</v>
      </c>
      <c r="E53" s="3">
        <v>67496.609999999986</v>
      </c>
      <c r="F53" s="3">
        <v>277620.86</v>
      </c>
    </row>
    <row r="54" spans="1:6" x14ac:dyDescent="0.3">
      <c r="A54" s="2" t="s">
        <v>68</v>
      </c>
      <c r="B54" s="3">
        <v>13359477</v>
      </c>
      <c r="C54" s="3">
        <v>12093776</v>
      </c>
      <c r="D54" s="3">
        <v>11138394</v>
      </c>
      <c r="E54" s="3">
        <v>12739324</v>
      </c>
      <c r="F54" s="3">
        <v>49330971</v>
      </c>
    </row>
    <row r="55" spans="1:6" x14ac:dyDescent="0.3">
      <c r="A55" s="2" t="s">
        <v>69</v>
      </c>
      <c r="B55" s="3">
        <v>157360.18000000005</v>
      </c>
      <c r="C55" s="3">
        <v>140132.67000000004</v>
      </c>
      <c r="D55" s="3">
        <v>175953.28999999998</v>
      </c>
      <c r="E55" s="3">
        <v>153100.29999999999</v>
      </c>
      <c r="F55" s="3">
        <v>626546.44000000006</v>
      </c>
    </row>
    <row r="56" spans="1:6" x14ac:dyDescent="0.3">
      <c r="A56" s="2" t="s">
        <v>70</v>
      </c>
      <c r="B56" s="3">
        <v>1070582.52</v>
      </c>
      <c r="C56" s="3">
        <v>899095.21</v>
      </c>
      <c r="D56" s="3">
        <v>1043247.8300000001</v>
      </c>
      <c r="E56" s="3">
        <v>1077816.6700000002</v>
      </c>
      <c r="F56" s="3">
        <v>4090742.2300000014</v>
      </c>
    </row>
    <row r="57" spans="1:6" x14ac:dyDescent="0.3">
      <c r="A57" s="2" t="s">
        <v>71</v>
      </c>
      <c r="B57" s="3">
        <v>8274187.4799999995</v>
      </c>
      <c r="C57" s="3">
        <v>7546111.9700000007</v>
      </c>
      <c r="D57" s="3">
        <v>9319210.9199999981</v>
      </c>
      <c r="E57" s="3">
        <v>8557778.8599999975</v>
      </c>
      <c r="F57" s="3">
        <v>33697289.230000012</v>
      </c>
    </row>
    <row r="58" spans="1:6" x14ac:dyDescent="0.3">
      <c r="A58" s="2" t="s">
        <v>72</v>
      </c>
      <c r="B58" s="3">
        <v>4652996.96</v>
      </c>
      <c r="C58" s="3">
        <v>4366902.8499999996</v>
      </c>
      <c r="D58" s="3">
        <v>5060500.7999999989</v>
      </c>
      <c r="E58" s="3">
        <v>4759508.75</v>
      </c>
      <c r="F58" s="3">
        <v>18839909.359999996</v>
      </c>
    </row>
    <row r="59" spans="1:6" x14ac:dyDescent="0.3">
      <c r="A59" s="2" t="s">
        <v>73</v>
      </c>
      <c r="B59" s="3">
        <v>2869000</v>
      </c>
      <c r="C59" s="3">
        <v>2805000</v>
      </c>
      <c r="D59" s="3">
        <v>3429000</v>
      </c>
      <c r="E59" s="3">
        <v>3061000</v>
      </c>
      <c r="F59" s="3">
        <v>12164000</v>
      </c>
    </row>
    <row r="60" spans="1:6" x14ac:dyDescent="0.3">
      <c r="A60" s="2" t="s">
        <v>74</v>
      </c>
      <c r="B60" s="3">
        <v>9127985.5300000012</v>
      </c>
      <c r="C60" s="3">
        <v>8478438.540000001</v>
      </c>
      <c r="D60" s="3">
        <v>9370378.5299999993</v>
      </c>
      <c r="E60" s="3">
        <v>9382389.0099999998</v>
      </c>
      <c r="F60" s="3">
        <v>36359191.609999977</v>
      </c>
    </row>
    <row r="61" spans="1:6" x14ac:dyDescent="0.3">
      <c r="A61" s="2" t="s">
        <v>75</v>
      </c>
      <c r="B61" s="3">
        <v>1976830.27</v>
      </c>
      <c r="C61" s="3">
        <v>1773141.3499999999</v>
      </c>
      <c r="D61" s="3">
        <v>1629168.9600000002</v>
      </c>
      <c r="E61" s="3">
        <v>1864650.4300000002</v>
      </c>
      <c r="F61" s="3">
        <v>7243791.009999997</v>
      </c>
    </row>
    <row r="62" spans="1:6" x14ac:dyDescent="0.3">
      <c r="A62" s="2" t="s">
        <v>76</v>
      </c>
      <c r="B62" s="3">
        <v>321390.6100000001</v>
      </c>
      <c r="C62" s="3">
        <v>275706.83999999997</v>
      </c>
      <c r="D62" s="3">
        <v>309413.61999999994</v>
      </c>
      <c r="E62" s="3">
        <v>303406.52999999997</v>
      </c>
      <c r="F62" s="3">
        <v>1209917.6000000001</v>
      </c>
    </row>
    <row r="63" spans="1:6" x14ac:dyDescent="0.3">
      <c r="A63" s="2" t="s">
        <v>77</v>
      </c>
      <c r="B63" s="3">
        <v>45335644.180000007</v>
      </c>
      <c r="C63" s="3">
        <v>39503398.480000004</v>
      </c>
      <c r="D63" s="3">
        <v>38716570.070000015</v>
      </c>
      <c r="E63" s="3">
        <v>37909009.339999996</v>
      </c>
      <c r="F63" s="3">
        <v>161464622.0699999</v>
      </c>
    </row>
    <row r="64" spans="1:6" x14ac:dyDescent="0.3">
      <c r="A64" s="2" t="s">
        <v>78</v>
      </c>
      <c r="B64" s="3">
        <v>34164979.859999999</v>
      </c>
      <c r="C64" s="3">
        <v>30332667.329999994</v>
      </c>
      <c r="D64" s="3">
        <v>30938479.099999998</v>
      </c>
      <c r="E64" s="3">
        <v>32668591.899999999</v>
      </c>
      <c r="F64" s="3">
        <v>128104718.18999998</v>
      </c>
    </row>
    <row r="65" spans="1:6" x14ac:dyDescent="0.3">
      <c r="A65" s="2" t="s">
        <v>79</v>
      </c>
      <c r="B65" s="3">
        <v>101594.56000000004</v>
      </c>
      <c r="C65" s="3">
        <v>88774.99000000002</v>
      </c>
      <c r="D65" s="3">
        <v>118597.85999999997</v>
      </c>
      <c r="E65" s="3">
        <v>99190.07</v>
      </c>
      <c r="F65" s="3">
        <v>408157.47999999992</v>
      </c>
    </row>
    <row r="66" spans="1:6" x14ac:dyDescent="0.3">
      <c r="A66" s="2" t="s">
        <v>80</v>
      </c>
      <c r="B66" s="3">
        <v>111484.07000000002</v>
      </c>
      <c r="C66" s="3">
        <v>97461.29</v>
      </c>
      <c r="D66" s="3">
        <v>129806.38999999998</v>
      </c>
      <c r="E66" s="3">
        <v>109019.59999999999</v>
      </c>
      <c r="F66" s="3">
        <v>447771.34999999986</v>
      </c>
    </row>
    <row r="67" spans="1:6" x14ac:dyDescent="0.3">
      <c r="A67" s="2" t="s">
        <v>81</v>
      </c>
      <c r="B67" s="3">
        <v>63156</v>
      </c>
      <c r="C67" s="3">
        <v>45757</v>
      </c>
      <c r="D67" s="3">
        <v>38098</v>
      </c>
      <c r="E67" s="3">
        <v>54312</v>
      </c>
      <c r="F67" s="3">
        <v>201323</v>
      </c>
    </row>
    <row r="68" spans="1:6" x14ac:dyDescent="0.3">
      <c r="A68" s="2" t="s">
        <v>82</v>
      </c>
      <c r="B68" s="3">
        <v>156367.41000000006</v>
      </c>
      <c r="C68" s="3">
        <v>138687.24999999997</v>
      </c>
      <c r="D68" s="3">
        <v>177221.33000000002</v>
      </c>
      <c r="E68" s="3">
        <v>152677.15999999997</v>
      </c>
      <c r="F68" s="3">
        <v>624953.14999999991</v>
      </c>
    </row>
    <row r="69" spans="1:6" x14ac:dyDescent="0.3">
      <c r="A69" s="2" t="s">
        <v>83</v>
      </c>
      <c r="B69" s="3">
        <v>1334255.24</v>
      </c>
      <c r="C69" s="3">
        <v>992943.40000000014</v>
      </c>
      <c r="D69" s="3">
        <v>1099948.4600000002</v>
      </c>
      <c r="E69" s="3">
        <v>1221560.27</v>
      </c>
      <c r="F69" s="3">
        <v>4648707.3699999992</v>
      </c>
    </row>
    <row r="70" spans="1:6" x14ac:dyDescent="0.3">
      <c r="A70" s="2" t="s">
        <v>84</v>
      </c>
      <c r="B70" s="3">
        <v>113912.93</v>
      </c>
      <c r="C70" s="3">
        <v>100902.05</v>
      </c>
      <c r="D70" s="3">
        <v>126999.56999999996</v>
      </c>
      <c r="E70" s="3">
        <v>110412.44999999998</v>
      </c>
      <c r="F70" s="3">
        <v>452226.99999999977</v>
      </c>
    </row>
    <row r="71" spans="1:6" x14ac:dyDescent="0.3">
      <c r="A71" s="2" t="s">
        <v>85</v>
      </c>
      <c r="B71" s="3">
        <v>1621787.3</v>
      </c>
      <c r="C71" s="3">
        <v>1501952.9700000002</v>
      </c>
      <c r="D71" s="3">
        <v>1756636.2899999993</v>
      </c>
      <c r="E71" s="3">
        <v>1633912.2299999997</v>
      </c>
      <c r="F71" s="3">
        <v>6514288.7899999972</v>
      </c>
    </row>
    <row r="72" spans="1:6" x14ac:dyDescent="0.3">
      <c r="A72" s="2" t="s">
        <v>86</v>
      </c>
      <c r="B72" s="3">
        <v>8951212</v>
      </c>
      <c r="C72" s="3">
        <v>7689060</v>
      </c>
      <c r="D72" s="3">
        <v>7519748</v>
      </c>
      <c r="E72" s="3">
        <v>8803426</v>
      </c>
      <c r="F72" s="3">
        <v>32963446</v>
      </c>
    </row>
    <row r="73" spans="1:6" x14ac:dyDescent="0.3">
      <c r="A73" s="2" t="s">
        <v>1</v>
      </c>
      <c r="B73" s="3">
        <v>370568428.2100001</v>
      </c>
      <c r="C73" s="3">
        <v>325766132.54000002</v>
      </c>
      <c r="D73" s="3">
        <v>324197648.10000008</v>
      </c>
      <c r="E73" s="3">
        <v>338108203.85000002</v>
      </c>
      <c r="F73" s="3">
        <v>1358640412.700001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816EF-9780-4131-8C1D-A34193FDE95D}">
  <dimension ref="A1:N74"/>
  <sheetViews>
    <sheetView tabSelected="1" workbookViewId="0">
      <selection activeCell="I4" sqref="I4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14" width="12" bestFit="1" customWidth="1"/>
  </cols>
  <sheetData>
    <row r="1" spans="1:14" x14ac:dyDescent="0.3">
      <c r="A1" s="1" t="s">
        <v>16</v>
      </c>
      <c r="B1" s="1" t="s">
        <v>0</v>
      </c>
    </row>
    <row r="2" spans="1:14" x14ac:dyDescent="0.3">
      <c r="A2" s="1" t="s">
        <v>2</v>
      </c>
      <c r="B2" t="s">
        <v>162</v>
      </c>
      <c r="C2" t="s">
        <v>163</v>
      </c>
      <c r="D2" t="s">
        <v>164</v>
      </c>
      <c r="E2" t="s">
        <v>165</v>
      </c>
      <c r="F2" t="s">
        <v>166</v>
      </c>
      <c r="G2" t="s">
        <v>167</v>
      </c>
      <c r="H2" t="s">
        <v>168</v>
      </c>
      <c r="I2" t="s">
        <v>169</v>
      </c>
      <c r="J2" t="s">
        <v>170</v>
      </c>
      <c r="K2" t="s">
        <v>171</v>
      </c>
      <c r="L2" t="s">
        <v>172</v>
      </c>
      <c r="M2" t="s">
        <v>173</v>
      </c>
      <c r="N2" t="s">
        <v>1</v>
      </c>
    </row>
    <row r="3" spans="1:14" x14ac:dyDescent="0.3">
      <c r="A3" s="2" t="s">
        <v>91</v>
      </c>
      <c r="B3" s="3">
        <v>12227315.480000002</v>
      </c>
      <c r="C3" s="3">
        <v>13581684.879999997</v>
      </c>
      <c r="D3" s="3">
        <v>11200640.960000001</v>
      </c>
      <c r="E3" s="3">
        <v>12591352.18</v>
      </c>
      <c r="F3" s="3">
        <v>16899364.889999997</v>
      </c>
      <c r="G3" s="3">
        <v>10193310.289999999</v>
      </c>
      <c r="H3" s="3">
        <v>5498629.290000001</v>
      </c>
      <c r="I3" s="3">
        <v>11376102.389999999</v>
      </c>
      <c r="J3" s="3">
        <v>17796329.489999998</v>
      </c>
      <c r="K3" s="3">
        <v>10860270.899999999</v>
      </c>
      <c r="L3" s="3">
        <v>15078390.410000002</v>
      </c>
      <c r="M3" s="3">
        <v>9390210.8900000006</v>
      </c>
      <c r="N3" s="3">
        <v>146693602.04999992</v>
      </c>
    </row>
    <row r="4" spans="1:14" x14ac:dyDescent="0.3">
      <c r="A4" s="2" t="s">
        <v>92</v>
      </c>
      <c r="B4" s="3">
        <v>11830311.740000002</v>
      </c>
      <c r="C4" s="3">
        <v>14281185.929999998</v>
      </c>
      <c r="D4" s="3">
        <v>10901843.030000001</v>
      </c>
      <c r="E4" s="3">
        <v>13666654.290000001</v>
      </c>
      <c r="F4" s="3">
        <v>13682192.98</v>
      </c>
      <c r="G4" s="3">
        <v>12472735.630000001</v>
      </c>
      <c r="H4" s="3">
        <v>10205660.750000002</v>
      </c>
      <c r="I4" s="3">
        <v>17986796.91</v>
      </c>
      <c r="J4" s="3">
        <v>17467425.990000002</v>
      </c>
      <c r="K4" s="3">
        <v>13739363.449999997</v>
      </c>
      <c r="L4" s="3">
        <v>13267802.859999999</v>
      </c>
      <c r="M4" s="3">
        <v>11962648.51</v>
      </c>
      <c r="N4" s="3">
        <v>161464622.0699999</v>
      </c>
    </row>
    <row r="5" spans="1:14" x14ac:dyDescent="0.3">
      <c r="A5" s="2" t="s">
        <v>93</v>
      </c>
      <c r="B5" s="3">
        <v>367028.05</v>
      </c>
      <c r="C5" s="3">
        <v>451319.5</v>
      </c>
      <c r="D5" s="3">
        <v>334067.17</v>
      </c>
      <c r="E5" s="3">
        <v>431935.65</v>
      </c>
      <c r="F5" s="3">
        <v>420262.77</v>
      </c>
      <c r="G5" s="3">
        <v>385388.91999999993</v>
      </c>
      <c r="H5" s="3">
        <v>318142.69</v>
      </c>
      <c r="I5" s="3">
        <v>554748.34000000008</v>
      </c>
      <c r="J5" s="3">
        <v>536183.91</v>
      </c>
      <c r="K5" s="3">
        <v>432777.00000000006</v>
      </c>
      <c r="L5" s="3">
        <v>406930.11999999994</v>
      </c>
      <c r="M5" s="3">
        <v>371529.48000000004</v>
      </c>
      <c r="N5" s="3">
        <v>5010313.6000000024</v>
      </c>
    </row>
    <row r="6" spans="1:14" x14ac:dyDescent="0.3">
      <c r="A6" s="2" t="s">
        <v>94</v>
      </c>
      <c r="B6" s="3">
        <v>236602.36999999997</v>
      </c>
      <c r="C6" s="3">
        <v>285617.91000000003</v>
      </c>
      <c r="D6" s="3">
        <v>218027.07</v>
      </c>
      <c r="E6" s="3">
        <v>273331.49</v>
      </c>
      <c r="F6" s="3">
        <v>273638.40000000002</v>
      </c>
      <c r="G6" s="3">
        <v>249450.2</v>
      </c>
      <c r="H6" s="3">
        <v>204109.52</v>
      </c>
      <c r="I6" s="3">
        <v>359729.62999999995</v>
      </c>
      <c r="J6" s="3">
        <v>349338.21</v>
      </c>
      <c r="K6" s="3">
        <v>274780.86</v>
      </c>
      <c r="L6" s="3">
        <v>265351.14999999997</v>
      </c>
      <c r="M6" s="3">
        <v>239247.42999999996</v>
      </c>
      <c r="N6" s="3">
        <v>3229224.2400000007</v>
      </c>
    </row>
    <row r="7" spans="1:14" x14ac:dyDescent="0.3">
      <c r="A7" s="2" t="s">
        <v>95</v>
      </c>
      <c r="B7" s="3">
        <v>4309855</v>
      </c>
      <c r="C7" s="3">
        <v>4749185</v>
      </c>
      <c r="D7" s="3">
        <v>3482071</v>
      </c>
      <c r="E7" s="3">
        <v>4209545</v>
      </c>
      <c r="F7" s="3">
        <v>5474016</v>
      </c>
      <c r="G7" s="3">
        <v>3312141</v>
      </c>
      <c r="H7" s="3">
        <v>1773335</v>
      </c>
      <c r="I7" s="3">
        <v>3675916</v>
      </c>
      <c r="J7" s="3">
        <v>6010586</v>
      </c>
      <c r="K7" s="3">
        <v>4015661</v>
      </c>
      <c r="L7" s="3">
        <v>5241592</v>
      </c>
      <c r="M7" s="3">
        <v>3077068</v>
      </c>
      <c r="N7" s="3">
        <v>49330971</v>
      </c>
    </row>
    <row r="8" spans="1:14" x14ac:dyDescent="0.3">
      <c r="A8" s="2" t="s">
        <v>96</v>
      </c>
      <c r="B8" s="3">
        <v>2610726</v>
      </c>
      <c r="C8" s="3">
        <v>3133561</v>
      </c>
      <c r="D8" s="3">
        <v>2364492</v>
      </c>
      <c r="E8" s="3">
        <v>2648663</v>
      </c>
      <c r="F8" s="3">
        <v>3877004</v>
      </c>
      <c r="G8" s="3">
        <v>2455349</v>
      </c>
      <c r="H8" s="3">
        <v>1247444</v>
      </c>
      <c r="I8" s="3">
        <v>2425545</v>
      </c>
      <c r="J8" s="3">
        <v>3830890</v>
      </c>
      <c r="K8" s="3">
        <v>2773833</v>
      </c>
      <c r="L8" s="3">
        <v>3665101</v>
      </c>
      <c r="M8" s="3">
        <v>1930838</v>
      </c>
      <c r="N8" s="3">
        <v>32963446</v>
      </c>
    </row>
    <row r="9" spans="1:14" x14ac:dyDescent="0.3">
      <c r="A9" s="2" t="s">
        <v>97</v>
      </c>
      <c r="B9" s="3">
        <v>2746072.54</v>
      </c>
      <c r="C9" s="3">
        <v>3263366.94</v>
      </c>
      <c r="D9" s="3">
        <v>2418260.1699999995</v>
      </c>
      <c r="E9" s="3">
        <v>2883488.2</v>
      </c>
      <c r="F9" s="3">
        <v>4054725.28</v>
      </c>
      <c r="G9" s="3">
        <v>2398124.6999999997</v>
      </c>
      <c r="H9" s="3">
        <v>1257992.01</v>
      </c>
      <c r="I9" s="3">
        <v>2672797.89</v>
      </c>
      <c r="J9" s="3">
        <v>4147930.9799999995</v>
      </c>
      <c r="K9" s="3">
        <v>2789280.89</v>
      </c>
      <c r="L9" s="3">
        <v>3641373.67</v>
      </c>
      <c r="M9" s="3">
        <v>2219254.1499999994</v>
      </c>
      <c r="N9" s="3">
        <v>34492667.419999987</v>
      </c>
    </row>
    <row r="10" spans="1:14" x14ac:dyDescent="0.3">
      <c r="A10" s="2" t="s">
        <v>98</v>
      </c>
      <c r="B10" s="3">
        <v>1753535.73</v>
      </c>
      <c r="C10" s="3">
        <v>2139162.2899999996</v>
      </c>
      <c r="D10" s="3">
        <v>1620884.9800000002</v>
      </c>
      <c r="E10" s="3">
        <v>1974664.9800000002</v>
      </c>
      <c r="F10" s="3">
        <v>2037525.4000000001</v>
      </c>
      <c r="G10" s="3">
        <v>1848505.1500000001</v>
      </c>
      <c r="H10" s="3">
        <v>1536527.15</v>
      </c>
      <c r="I10" s="3">
        <v>2684906.2399999998</v>
      </c>
      <c r="J10" s="3">
        <v>2610312.5800000005</v>
      </c>
      <c r="K10" s="3">
        <v>2052631.8800000001</v>
      </c>
      <c r="L10" s="3">
        <v>1996196.5700000003</v>
      </c>
      <c r="M10" s="3">
        <v>1791490.9900000002</v>
      </c>
      <c r="N10" s="3">
        <v>24046343.93999999</v>
      </c>
    </row>
    <row r="11" spans="1:14" x14ac:dyDescent="0.3">
      <c r="A11" s="2" t="s">
        <v>99</v>
      </c>
      <c r="B11" s="3">
        <v>1171096.04</v>
      </c>
      <c r="C11" s="3">
        <v>1444618.2</v>
      </c>
      <c r="D11" s="3">
        <v>1106082.6599999999</v>
      </c>
      <c r="E11" s="3">
        <v>1356694.44</v>
      </c>
      <c r="F11" s="3">
        <v>1362143.8699999999</v>
      </c>
      <c r="G11" s="3">
        <v>1241903.1300000001</v>
      </c>
      <c r="H11" s="3">
        <v>1016847.9500000001</v>
      </c>
      <c r="I11" s="3">
        <v>1835108.7900000003</v>
      </c>
      <c r="J11" s="3">
        <v>1745111.3499999999</v>
      </c>
      <c r="K11" s="3">
        <v>1367510.2600000002</v>
      </c>
      <c r="L11" s="3">
        <v>1340391.8700000001</v>
      </c>
      <c r="M11" s="3">
        <v>1181353.1200000001</v>
      </c>
      <c r="N11" s="3">
        <v>16168861.679999996</v>
      </c>
    </row>
    <row r="12" spans="1:14" x14ac:dyDescent="0.3">
      <c r="A12" s="2" t="s">
        <v>100</v>
      </c>
      <c r="B12" s="3">
        <v>2331105.14</v>
      </c>
      <c r="C12" s="3">
        <v>2915994.16</v>
      </c>
      <c r="D12" s="3">
        <v>2165139.1000000006</v>
      </c>
      <c r="E12" s="3">
        <v>2749402.34</v>
      </c>
      <c r="F12" s="3">
        <v>2677584.4699999993</v>
      </c>
      <c r="G12" s="3">
        <v>2457921.3199999994</v>
      </c>
      <c r="H12" s="3">
        <v>2031361.85</v>
      </c>
      <c r="I12" s="3">
        <v>3601396.14</v>
      </c>
      <c r="J12" s="3">
        <v>3430125.1399999992</v>
      </c>
      <c r="K12" s="3">
        <v>2760944.0500000007</v>
      </c>
      <c r="L12" s="3">
        <v>2627453.0799999996</v>
      </c>
      <c r="M12" s="3">
        <v>2357857.48</v>
      </c>
      <c r="N12" s="3">
        <v>32106284.269999996</v>
      </c>
    </row>
    <row r="13" spans="1:14" x14ac:dyDescent="0.3">
      <c r="A13" s="2" t="s">
        <v>101</v>
      </c>
      <c r="B13" s="3">
        <v>216276.11999999994</v>
      </c>
      <c r="C13" s="3">
        <v>341338.54</v>
      </c>
      <c r="D13" s="3">
        <v>278807.32999999996</v>
      </c>
      <c r="E13" s="3">
        <v>216276.11999999994</v>
      </c>
      <c r="F13" s="3">
        <v>278807.32999999996</v>
      </c>
      <c r="G13" s="3">
        <v>278807.32999999996</v>
      </c>
      <c r="H13" s="3">
        <v>216276.11999999994</v>
      </c>
      <c r="I13" s="3">
        <v>341338.54</v>
      </c>
      <c r="J13" s="3">
        <v>341338.54</v>
      </c>
      <c r="K13" s="3">
        <v>278807.32999999996</v>
      </c>
      <c r="L13" s="3">
        <v>278807.32999999996</v>
      </c>
      <c r="M13" s="3">
        <v>278807.32999999996</v>
      </c>
      <c r="N13" s="3">
        <v>3345687.959999999</v>
      </c>
    </row>
    <row r="14" spans="1:14" x14ac:dyDescent="0.3">
      <c r="A14" s="2" t="s">
        <v>102</v>
      </c>
      <c r="B14" s="3">
        <v>689175.89</v>
      </c>
      <c r="C14" s="3">
        <v>1087690.6900000002</v>
      </c>
      <c r="D14" s="3">
        <v>888433.28999999992</v>
      </c>
      <c r="E14" s="3">
        <v>689175.89</v>
      </c>
      <c r="F14" s="3">
        <v>888433.28999999992</v>
      </c>
      <c r="G14" s="3">
        <v>888433.28999999992</v>
      </c>
      <c r="H14" s="3">
        <v>689175.89</v>
      </c>
      <c r="I14" s="3">
        <v>1087690.6900000002</v>
      </c>
      <c r="J14" s="3">
        <v>1087690.6900000002</v>
      </c>
      <c r="K14" s="3">
        <v>888433.28999999992</v>
      </c>
      <c r="L14" s="3">
        <v>888433.28999999992</v>
      </c>
      <c r="M14" s="3">
        <v>888433.28999999992</v>
      </c>
      <c r="N14" s="3">
        <v>10661199.479999987</v>
      </c>
    </row>
    <row r="15" spans="1:14" x14ac:dyDescent="0.3">
      <c r="A15" s="2" t="s">
        <v>103</v>
      </c>
      <c r="B15" s="3">
        <v>216991.93999999997</v>
      </c>
      <c r="C15" s="3">
        <v>344930.34</v>
      </c>
      <c r="D15" s="3">
        <v>275901.07</v>
      </c>
      <c r="E15" s="3">
        <v>215278.12</v>
      </c>
      <c r="F15" s="3">
        <v>278975.17999999993</v>
      </c>
      <c r="G15" s="3">
        <v>274004.75000000006</v>
      </c>
      <c r="H15" s="3">
        <v>212118.94</v>
      </c>
      <c r="I15" s="3">
        <v>342436.56000000006</v>
      </c>
      <c r="J15" s="3">
        <v>336357.06000000006</v>
      </c>
      <c r="K15" s="3">
        <v>278847.90000000002</v>
      </c>
      <c r="L15" s="3">
        <v>274870.75</v>
      </c>
      <c r="M15" s="3">
        <v>279215.62</v>
      </c>
      <c r="N15" s="3">
        <v>3329928.2300000004</v>
      </c>
    </row>
    <row r="16" spans="1:14" x14ac:dyDescent="0.3">
      <c r="A16" s="2" t="s">
        <v>104</v>
      </c>
      <c r="B16" s="3">
        <v>1307163.25</v>
      </c>
      <c r="C16" s="3">
        <v>2086830.5799999998</v>
      </c>
      <c r="D16" s="3">
        <v>1714383.11</v>
      </c>
      <c r="E16" s="3">
        <v>1375866.9300000004</v>
      </c>
      <c r="F16" s="3">
        <v>1716911.71</v>
      </c>
      <c r="G16" s="3">
        <v>1721701.23</v>
      </c>
      <c r="H16" s="3">
        <v>1373126.26</v>
      </c>
      <c r="I16" s="3">
        <v>2003539.6800000002</v>
      </c>
      <c r="J16" s="3">
        <v>2070611.1400000001</v>
      </c>
      <c r="K16" s="3">
        <v>1749608.93</v>
      </c>
      <c r="L16" s="3">
        <v>1695595.98</v>
      </c>
      <c r="M16" s="3">
        <v>1712214.53</v>
      </c>
      <c r="N16" s="3">
        <v>20527553.329999994</v>
      </c>
    </row>
    <row r="17" spans="1:14" x14ac:dyDescent="0.3">
      <c r="A17" s="2" t="s">
        <v>105</v>
      </c>
      <c r="B17" s="3">
        <v>185598.24</v>
      </c>
      <c r="C17" s="3">
        <v>293372.23999999993</v>
      </c>
      <c r="D17" s="3">
        <v>239512.1</v>
      </c>
      <c r="E17" s="3">
        <v>185618.9</v>
      </c>
      <c r="F17" s="3">
        <v>239082.09000000003</v>
      </c>
      <c r="G17" s="3">
        <v>239835.25</v>
      </c>
      <c r="H17" s="3">
        <v>185428.39000000004</v>
      </c>
      <c r="I17" s="3">
        <v>291471.14999999991</v>
      </c>
      <c r="J17" s="3">
        <v>292069.54000000004</v>
      </c>
      <c r="K17" s="3">
        <v>239677.21000000002</v>
      </c>
      <c r="L17" s="3">
        <v>239450.29</v>
      </c>
      <c r="M17" s="3">
        <v>239612.44000000006</v>
      </c>
      <c r="N17" s="3">
        <v>2870727.8400000017</v>
      </c>
    </row>
    <row r="18" spans="1:14" x14ac:dyDescent="0.3">
      <c r="A18" s="2" t="s">
        <v>106</v>
      </c>
      <c r="B18" s="3">
        <v>76595.340000000011</v>
      </c>
      <c r="C18" s="3">
        <v>120757.37999999999</v>
      </c>
      <c r="D18" s="3">
        <v>98466.6</v>
      </c>
      <c r="E18" s="3">
        <v>76506.920000000013</v>
      </c>
      <c r="F18" s="3">
        <v>98563.06</v>
      </c>
      <c r="G18" s="3">
        <v>98460.25</v>
      </c>
      <c r="H18" s="3">
        <v>76479.87000000001</v>
      </c>
      <c r="I18" s="3">
        <v>120627.89000000003</v>
      </c>
      <c r="J18" s="3">
        <v>121065.27999999997</v>
      </c>
      <c r="K18" s="3">
        <v>98580.750000000015</v>
      </c>
      <c r="L18" s="3">
        <v>98878.77</v>
      </c>
      <c r="M18" s="3">
        <v>99038.459999999992</v>
      </c>
      <c r="N18" s="3">
        <v>1184020.5700000005</v>
      </c>
    </row>
    <row r="19" spans="1:14" x14ac:dyDescent="0.3">
      <c r="A19" s="2" t="s">
        <v>107</v>
      </c>
      <c r="B19" s="3">
        <v>400499.55</v>
      </c>
      <c r="C19" s="3">
        <v>617145.82999999996</v>
      </c>
      <c r="D19" s="3">
        <v>512419.64</v>
      </c>
      <c r="E19" s="3">
        <v>380418.65</v>
      </c>
      <c r="F19" s="3">
        <v>498556.99</v>
      </c>
      <c r="G19" s="3">
        <v>507274.54</v>
      </c>
      <c r="H19" s="3">
        <v>400804.14000000007</v>
      </c>
      <c r="I19" s="3">
        <v>620912.55000000005</v>
      </c>
      <c r="J19" s="3">
        <v>615948.06999999995</v>
      </c>
      <c r="K19" s="3">
        <v>511200.56999999995</v>
      </c>
      <c r="L19" s="3">
        <v>509736.18</v>
      </c>
      <c r="M19" s="3">
        <v>505088.87000000005</v>
      </c>
      <c r="N19" s="3">
        <v>6080005.5799999982</v>
      </c>
    </row>
    <row r="20" spans="1:14" x14ac:dyDescent="0.3">
      <c r="A20" s="2" t="s">
        <v>108</v>
      </c>
      <c r="B20" s="3">
        <v>337450.99999999994</v>
      </c>
      <c r="C20" s="3">
        <v>545801.43999999994</v>
      </c>
      <c r="D20" s="3">
        <v>433406.67</v>
      </c>
      <c r="E20" s="3">
        <v>352113.52</v>
      </c>
      <c r="F20" s="3">
        <v>437382.19999999995</v>
      </c>
      <c r="G20" s="3">
        <v>441993.62000000005</v>
      </c>
      <c r="H20" s="3">
        <v>329153.43999999994</v>
      </c>
      <c r="I20" s="3">
        <v>542633.82999999996</v>
      </c>
      <c r="J20" s="3">
        <v>523058.92</v>
      </c>
      <c r="K20" s="3">
        <v>436164.72000000003</v>
      </c>
      <c r="L20" s="3">
        <v>439101.13</v>
      </c>
      <c r="M20" s="3">
        <v>435049.54000000004</v>
      </c>
      <c r="N20" s="3">
        <v>5253310.0299999965</v>
      </c>
    </row>
    <row r="21" spans="1:14" x14ac:dyDescent="0.3">
      <c r="A21" s="2" t="s">
        <v>109</v>
      </c>
      <c r="B21" s="3">
        <v>347954.82</v>
      </c>
      <c r="C21" s="3">
        <v>537578.02</v>
      </c>
      <c r="D21" s="3">
        <v>439171.38</v>
      </c>
      <c r="E21" s="3">
        <v>331271.89999999997</v>
      </c>
      <c r="F21" s="3">
        <v>432158.76</v>
      </c>
      <c r="G21" s="3">
        <v>445002.95</v>
      </c>
      <c r="H21" s="3">
        <v>351817.52</v>
      </c>
      <c r="I21" s="3">
        <v>542871.61</v>
      </c>
      <c r="J21" s="3">
        <v>537635.50000000012</v>
      </c>
      <c r="K21" s="3">
        <v>443650.76000000007</v>
      </c>
      <c r="L21" s="3">
        <v>445398.06</v>
      </c>
      <c r="M21" s="3">
        <v>439513.84</v>
      </c>
      <c r="N21" s="3">
        <v>5294025.1199999982</v>
      </c>
    </row>
    <row r="22" spans="1:14" x14ac:dyDescent="0.3">
      <c r="A22" s="2" t="s">
        <v>110</v>
      </c>
      <c r="B22" s="3">
        <v>2994304.8100000005</v>
      </c>
      <c r="C22" s="3">
        <v>4801342.3600000003</v>
      </c>
      <c r="D22" s="3">
        <v>3818440.2500000005</v>
      </c>
      <c r="E22" s="3">
        <v>3088655.2800000003</v>
      </c>
      <c r="F22" s="3">
        <v>3873120.42</v>
      </c>
      <c r="G22" s="3">
        <v>3836313.73</v>
      </c>
      <c r="H22" s="3">
        <v>2925936.68</v>
      </c>
      <c r="I22" s="3">
        <v>4738909.6099999994</v>
      </c>
      <c r="J22" s="3">
        <v>4627795.96</v>
      </c>
      <c r="K22" s="3">
        <v>3873908.1000000006</v>
      </c>
      <c r="L22" s="3">
        <v>3859540.9799999995</v>
      </c>
      <c r="M22" s="3">
        <v>3817152.69</v>
      </c>
      <c r="N22" s="3">
        <v>46255420.869999997</v>
      </c>
    </row>
    <row r="23" spans="1:14" x14ac:dyDescent="0.3">
      <c r="A23" s="2" t="s">
        <v>111</v>
      </c>
      <c r="B23" s="3">
        <v>1198741.44</v>
      </c>
      <c r="C23" s="3">
        <v>1902970.9700000002</v>
      </c>
      <c r="D23" s="3">
        <v>1563594.2999999998</v>
      </c>
      <c r="E23" s="3">
        <v>1224422.4000000001</v>
      </c>
      <c r="F23" s="3">
        <v>1546318.45</v>
      </c>
      <c r="G23" s="3">
        <v>1577852.7</v>
      </c>
      <c r="H23" s="3">
        <v>1258100.3899999997</v>
      </c>
      <c r="I23" s="3">
        <v>1882256.11</v>
      </c>
      <c r="J23" s="3">
        <v>1910061.0200000003</v>
      </c>
      <c r="K23" s="3">
        <v>1573262.53</v>
      </c>
      <c r="L23" s="3">
        <v>1622651.92</v>
      </c>
      <c r="M23" s="3">
        <v>1579677.13</v>
      </c>
      <c r="N23" s="3">
        <v>18839909.359999996</v>
      </c>
    </row>
    <row r="24" spans="1:14" x14ac:dyDescent="0.3">
      <c r="A24" s="2" t="s">
        <v>112</v>
      </c>
      <c r="B24" s="3">
        <v>504419.24000000005</v>
      </c>
      <c r="C24" s="3">
        <v>791577.2</v>
      </c>
      <c r="D24" s="3">
        <v>654682.63000000012</v>
      </c>
      <c r="E24" s="3">
        <v>502271.13999999996</v>
      </c>
      <c r="F24" s="3">
        <v>652154.42999999993</v>
      </c>
      <c r="G24" s="3">
        <v>642748.10000000009</v>
      </c>
      <c r="H24" s="3">
        <v>512934.4599999999</v>
      </c>
      <c r="I24" s="3">
        <v>790139.05</v>
      </c>
      <c r="J24" s="3">
        <v>788008.3899999999</v>
      </c>
      <c r="K24" s="3">
        <v>639140.72000000009</v>
      </c>
      <c r="L24" s="3">
        <v>638427.74</v>
      </c>
      <c r="M24" s="3">
        <v>639226.55000000005</v>
      </c>
      <c r="N24" s="3">
        <v>7755729.6499999994</v>
      </c>
    </row>
    <row r="25" spans="1:14" x14ac:dyDescent="0.3">
      <c r="A25" s="2" t="s">
        <v>113</v>
      </c>
      <c r="B25" s="3">
        <v>423532.79</v>
      </c>
      <c r="C25" s="3">
        <v>658897.99</v>
      </c>
      <c r="D25" s="3">
        <v>548735.5</v>
      </c>
      <c r="E25" s="3">
        <v>415197.48000000004</v>
      </c>
      <c r="F25" s="3">
        <v>540395.21999999986</v>
      </c>
      <c r="G25" s="3">
        <v>551308.42000000004</v>
      </c>
      <c r="H25" s="3">
        <v>412410.06999999995</v>
      </c>
      <c r="I25" s="3">
        <v>666194.60000000021</v>
      </c>
      <c r="J25" s="3">
        <v>666010.11</v>
      </c>
      <c r="K25" s="3">
        <v>554528.57999999996</v>
      </c>
      <c r="L25" s="3">
        <v>530648.15</v>
      </c>
      <c r="M25" s="3">
        <v>546429.88</v>
      </c>
      <c r="N25" s="3">
        <v>6514288.7899999972</v>
      </c>
    </row>
    <row r="26" spans="1:14" x14ac:dyDescent="0.3">
      <c r="A26" s="2" t="s">
        <v>114</v>
      </c>
      <c r="B26" s="3">
        <v>799142.60000000009</v>
      </c>
      <c r="C26" s="3">
        <v>1001445.49</v>
      </c>
      <c r="D26" s="3">
        <v>767750.50000000012</v>
      </c>
      <c r="E26" s="3">
        <v>933722.42999999993</v>
      </c>
      <c r="F26" s="3">
        <v>956225.00000000012</v>
      </c>
      <c r="G26" s="3">
        <v>875450.64999999991</v>
      </c>
      <c r="H26" s="3">
        <v>702027.74</v>
      </c>
      <c r="I26" s="3">
        <v>1285860.4000000001</v>
      </c>
      <c r="J26" s="3">
        <v>1206705</v>
      </c>
      <c r="K26" s="3">
        <v>962327.88000000012</v>
      </c>
      <c r="L26" s="3">
        <v>936954.02999999991</v>
      </c>
      <c r="M26" s="3">
        <v>843375.65</v>
      </c>
      <c r="N26" s="3">
        <v>11270987.369999994</v>
      </c>
    </row>
    <row r="27" spans="1:14" x14ac:dyDescent="0.3">
      <c r="A27" s="2" t="s">
        <v>115</v>
      </c>
      <c r="B27" s="3">
        <v>2734998.6</v>
      </c>
      <c r="C27" s="3">
        <v>3014166.3100000005</v>
      </c>
      <c r="D27" s="3">
        <v>2309791.9299999997</v>
      </c>
      <c r="E27" s="3">
        <v>2951301.81</v>
      </c>
      <c r="F27" s="3">
        <v>3768660.4200000009</v>
      </c>
      <c r="G27" s="3">
        <v>2352914.1700000004</v>
      </c>
      <c r="H27" s="3">
        <v>1214581.6099999999</v>
      </c>
      <c r="I27" s="3">
        <v>2414073.5299999993</v>
      </c>
      <c r="J27" s="3">
        <v>3813531.45</v>
      </c>
      <c r="K27" s="3">
        <v>2688043.0900000003</v>
      </c>
      <c r="L27" s="3">
        <v>3341398.59</v>
      </c>
      <c r="M27" s="3">
        <v>1973981.86</v>
      </c>
      <c r="N27" s="3">
        <v>32577443.370000016</v>
      </c>
    </row>
    <row r="28" spans="1:14" x14ac:dyDescent="0.3">
      <c r="A28" s="2" t="s">
        <v>116</v>
      </c>
      <c r="B28" s="3">
        <v>2405780.1399999997</v>
      </c>
      <c r="C28" s="3">
        <v>2665106.67</v>
      </c>
      <c r="D28" s="3">
        <v>2056707.1700000004</v>
      </c>
      <c r="E28" s="3">
        <v>2628776.5900000003</v>
      </c>
      <c r="F28" s="3">
        <v>3338245.42</v>
      </c>
      <c r="G28" s="3">
        <v>2141041.54</v>
      </c>
      <c r="H28" s="3">
        <v>1103492.1800000002</v>
      </c>
      <c r="I28" s="3">
        <v>2160300.38</v>
      </c>
      <c r="J28" s="3">
        <v>3496645.1</v>
      </c>
      <c r="K28" s="3">
        <v>2517989.0600000005</v>
      </c>
      <c r="L28" s="3">
        <v>2997056.1</v>
      </c>
      <c r="M28" s="3">
        <v>1788978.1499999994</v>
      </c>
      <c r="N28" s="3">
        <v>29300118.500000007</v>
      </c>
    </row>
    <row r="29" spans="1:14" x14ac:dyDescent="0.3">
      <c r="A29" s="2" t="s">
        <v>117</v>
      </c>
      <c r="B29" s="3">
        <v>527256.48</v>
      </c>
      <c r="C29" s="3">
        <v>821111.32</v>
      </c>
      <c r="D29" s="3">
        <v>684687.05999999994</v>
      </c>
      <c r="E29" s="3">
        <v>527029.56000000006</v>
      </c>
      <c r="F29" s="3">
        <v>696838.47</v>
      </c>
      <c r="G29" s="3">
        <v>681853.33000000007</v>
      </c>
      <c r="H29" s="3">
        <v>540251.3600000001</v>
      </c>
      <c r="I29" s="3">
        <v>832005.41</v>
      </c>
      <c r="J29" s="3">
        <v>853973.98</v>
      </c>
      <c r="K29" s="3">
        <v>678741.67</v>
      </c>
      <c r="L29" s="3">
        <v>679070.91</v>
      </c>
      <c r="M29" s="3">
        <v>671184.44000000006</v>
      </c>
      <c r="N29" s="3">
        <v>8194003.9900000021</v>
      </c>
    </row>
    <row r="30" spans="1:14" x14ac:dyDescent="0.3">
      <c r="A30" s="2" t="s">
        <v>118</v>
      </c>
      <c r="B30" s="3">
        <v>1220600.6099999996</v>
      </c>
      <c r="C30" s="3">
        <v>1864979.95</v>
      </c>
      <c r="D30" s="3">
        <v>1544229.08</v>
      </c>
      <c r="E30" s="3">
        <v>1253330.69</v>
      </c>
      <c r="F30" s="3">
        <v>1547267.9000000001</v>
      </c>
      <c r="G30" s="3">
        <v>1588108.5299999998</v>
      </c>
      <c r="H30" s="3">
        <v>1277515.1700000002</v>
      </c>
      <c r="I30" s="3">
        <v>1895866.21</v>
      </c>
      <c r="J30" s="3">
        <v>1926282.2800000005</v>
      </c>
      <c r="K30" s="3">
        <v>1594856.5999999999</v>
      </c>
      <c r="L30" s="3">
        <v>1623728.3</v>
      </c>
      <c r="M30" s="3">
        <v>1594814.38</v>
      </c>
      <c r="N30" s="3">
        <v>18931579.70000001</v>
      </c>
    </row>
    <row r="31" spans="1:14" x14ac:dyDescent="0.3">
      <c r="A31" s="2" t="s">
        <v>119</v>
      </c>
      <c r="B31" s="3">
        <v>492458.33</v>
      </c>
      <c r="C31" s="3">
        <v>796511.79999999993</v>
      </c>
      <c r="D31" s="3">
        <v>632489.39</v>
      </c>
      <c r="E31" s="3">
        <v>513856.48000000004</v>
      </c>
      <c r="F31" s="3">
        <v>638295.27</v>
      </c>
      <c r="G31" s="3">
        <v>645021.58000000007</v>
      </c>
      <c r="H31" s="3">
        <v>480349.41000000003</v>
      </c>
      <c r="I31" s="3">
        <v>791892.81</v>
      </c>
      <c r="J31" s="3">
        <v>763326.54</v>
      </c>
      <c r="K31" s="3">
        <v>636515.67000000004</v>
      </c>
      <c r="L31" s="3">
        <v>640800.37000000011</v>
      </c>
      <c r="M31" s="3">
        <v>634889.30000000016</v>
      </c>
      <c r="N31" s="3">
        <v>7666406.9500000002</v>
      </c>
    </row>
    <row r="32" spans="1:14" x14ac:dyDescent="0.3">
      <c r="A32" s="2" t="s">
        <v>120</v>
      </c>
      <c r="B32" s="3"/>
      <c r="C32" s="3"/>
      <c r="D32" s="3">
        <v>8575000</v>
      </c>
      <c r="E32" s="3"/>
      <c r="F32" s="3"/>
      <c r="G32" s="3"/>
      <c r="H32" s="3"/>
      <c r="I32" s="3"/>
      <c r="J32" s="3"/>
      <c r="K32" s="3"/>
      <c r="L32" s="3"/>
      <c r="M32" s="3"/>
      <c r="N32" s="3">
        <v>8575000</v>
      </c>
    </row>
    <row r="33" spans="1:14" x14ac:dyDescent="0.3">
      <c r="A33" s="2" t="s">
        <v>121</v>
      </c>
      <c r="B33" s="3">
        <v>18926769.779999997</v>
      </c>
      <c r="C33" s="3">
        <v>12496934.530000003</v>
      </c>
      <c r="D33" s="3">
        <v>-1440130.9899999993</v>
      </c>
      <c r="E33" s="3">
        <v>24467888.060000002</v>
      </c>
      <c r="F33" s="3">
        <v>31779390.329999998</v>
      </c>
      <c r="G33" s="3">
        <v>10780736.890000001</v>
      </c>
      <c r="H33" s="3">
        <v>6084499.9100000001</v>
      </c>
      <c r="I33" s="3">
        <v>24831619.710000001</v>
      </c>
      <c r="J33" s="3">
        <v>25905311.970000003</v>
      </c>
      <c r="K33" s="3">
        <v>7832459.0300000003</v>
      </c>
      <c r="L33" s="3">
        <v>14071371.33</v>
      </c>
      <c r="M33" s="3">
        <v>6915646.9800000004</v>
      </c>
      <c r="N33" s="3">
        <v>182652497.52999988</v>
      </c>
    </row>
    <row r="34" spans="1:14" x14ac:dyDescent="0.3">
      <c r="A34" s="2" t="s">
        <v>122</v>
      </c>
      <c r="B34" s="3"/>
      <c r="C34" s="3"/>
      <c r="D34" s="3">
        <v>16465866.52</v>
      </c>
      <c r="E34" s="3"/>
      <c r="F34" s="3"/>
      <c r="G34" s="3"/>
      <c r="H34" s="3"/>
      <c r="I34" s="3"/>
      <c r="J34" s="3"/>
      <c r="K34" s="3"/>
      <c r="L34" s="3"/>
      <c r="M34" s="3"/>
      <c r="N34" s="3">
        <v>16465866.52</v>
      </c>
    </row>
    <row r="35" spans="1:14" x14ac:dyDescent="0.3">
      <c r="A35" s="2" t="s">
        <v>123</v>
      </c>
      <c r="B35" s="3">
        <v>9762537.7799999993</v>
      </c>
      <c r="C35" s="3">
        <v>19239337.359999999</v>
      </c>
      <c r="D35" s="3">
        <v>765009.89</v>
      </c>
      <c r="E35" s="3">
        <v>6735035.7599999998</v>
      </c>
      <c r="F35" s="3">
        <v>4551335.4200000009</v>
      </c>
      <c r="G35" s="3">
        <v>14462999.770000001</v>
      </c>
      <c r="H35" s="3">
        <v>11050389.879999999</v>
      </c>
      <c r="I35" s="3">
        <v>8606441.1300000008</v>
      </c>
      <c r="J35" s="3">
        <v>15770967.75</v>
      </c>
      <c r="K35" s="3">
        <v>20680620.859999999</v>
      </c>
      <c r="L35" s="3">
        <v>19690207.710000001</v>
      </c>
      <c r="M35" s="3">
        <v>16643988.200000001</v>
      </c>
      <c r="N35" s="3">
        <v>147958871.50999999</v>
      </c>
    </row>
    <row r="36" spans="1:14" x14ac:dyDescent="0.3">
      <c r="A36" s="2" t="s">
        <v>124</v>
      </c>
      <c r="B36" s="3">
        <v>240999.89</v>
      </c>
      <c r="C36" s="3">
        <v>431539.02999999997</v>
      </c>
      <c r="D36" s="3">
        <v>329353.27999999997</v>
      </c>
      <c r="E36" s="3">
        <v>291426.8</v>
      </c>
      <c r="F36" s="3">
        <v>459585.58999999997</v>
      </c>
      <c r="G36" s="3">
        <v>361490.17999999993</v>
      </c>
      <c r="H36" s="3">
        <v>133911.13</v>
      </c>
      <c r="I36" s="3">
        <v>319570.13</v>
      </c>
      <c r="J36" s="3">
        <v>524184.18999999994</v>
      </c>
      <c r="K36" s="3">
        <v>351864.55</v>
      </c>
      <c r="L36" s="3">
        <v>396598.84</v>
      </c>
      <c r="M36" s="3">
        <v>250218.61999999997</v>
      </c>
      <c r="N36" s="3">
        <v>4090742.2300000014</v>
      </c>
    </row>
    <row r="37" spans="1:14" x14ac:dyDescent="0.3">
      <c r="A37" s="2" t="s">
        <v>125</v>
      </c>
      <c r="B37" s="3">
        <v>18566.080000000002</v>
      </c>
      <c r="C37" s="3">
        <v>5528.92</v>
      </c>
      <c r="D37" s="3">
        <v>720457.38</v>
      </c>
      <c r="E37" s="3">
        <v>251541.12999999998</v>
      </c>
      <c r="F37" s="3">
        <v>346573.16</v>
      </c>
      <c r="G37" s="3">
        <v>12148.74</v>
      </c>
      <c r="H37" s="3">
        <v>9910.4800000000014</v>
      </c>
      <c r="I37" s="3">
        <v>29632.579999999998</v>
      </c>
      <c r="J37" s="3">
        <v>35043.81</v>
      </c>
      <c r="K37" s="3">
        <v>999455.95</v>
      </c>
      <c r="L37" s="3">
        <v>54909.599999999999</v>
      </c>
      <c r="M37" s="3">
        <v>32450.320000000003</v>
      </c>
      <c r="N37" s="3">
        <v>2516218.1500000008</v>
      </c>
    </row>
    <row r="38" spans="1:14" x14ac:dyDescent="0.3">
      <c r="A38" s="2" t="s">
        <v>126</v>
      </c>
      <c r="B38" s="3">
        <v>8236064.79</v>
      </c>
      <c r="C38" s="3">
        <v>14810579.520000001</v>
      </c>
      <c r="D38" s="3">
        <v>8183868.2199999997</v>
      </c>
      <c r="E38" s="3">
        <v>8819422.8299999982</v>
      </c>
      <c r="F38" s="3">
        <v>14457891.370000003</v>
      </c>
      <c r="G38" s="3">
        <v>8254510.919999999</v>
      </c>
      <c r="H38" s="3">
        <v>3822652.71</v>
      </c>
      <c r="I38" s="3">
        <v>10887665.659999998</v>
      </c>
      <c r="J38" s="3">
        <v>18273949.829999998</v>
      </c>
      <c r="K38" s="3">
        <v>10475095.549999999</v>
      </c>
      <c r="L38" s="3">
        <v>14009628.130000001</v>
      </c>
      <c r="M38" s="3">
        <v>7873388.6600000001</v>
      </c>
      <c r="N38" s="3">
        <v>128104718.18999998</v>
      </c>
    </row>
    <row r="39" spans="1:14" x14ac:dyDescent="0.3">
      <c r="A39" s="2" t="s">
        <v>127</v>
      </c>
      <c r="B39" s="3">
        <v>461780.01000000007</v>
      </c>
      <c r="C39" s="3">
        <v>619820.78</v>
      </c>
      <c r="D39" s="3">
        <v>410130.81</v>
      </c>
      <c r="E39" s="3">
        <v>331421.53999999998</v>
      </c>
      <c r="F39" s="3">
        <v>677938.55999999994</v>
      </c>
      <c r="G39" s="3">
        <v>352002.74999999994</v>
      </c>
      <c r="H39" s="3">
        <v>200624.93999999997</v>
      </c>
      <c r="I39" s="3">
        <v>391758.43000000005</v>
      </c>
      <c r="J39" s="3">
        <v>993252.09</v>
      </c>
      <c r="K39" s="3">
        <v>397487.89999999997</v>
      </c>
      <c r="L39" s="3">
        <v>545939.73999999987</v>
      </c>
      <c r="M39" s="3">
        <v>354233.23</v>
      </c>
      <c r="N39" s="3">
        <v>5736390.7800000012</v>
      </c>
    </row>
    <row r="40" spans="1:14" x14ac:dyDescent="0.3">
      <c r="A40" s="2" t="s">
        <v>128</v>
      </c>
      <c r="B40" s="3">
        <v>2186024.17</v>
      </c>
      <c r="C40" s="3">
        <v>4748725.5100000007</v>
      </c>
      <c r="D40" s="3">
        <v>1948318.2199999997</v>
      </c>
      <c r="E40" s="3">
        <v>2235620.1599999997</v>
      </c>
      <c r="F40" s="3">
        <v>3795889.85</v>
      </c>
      <c r="G40" s="3">
        <v>2549936.2599999998</v>
      </c>
      <c r="H40" s="3">
        <v>1061146.1499999999</v>
      </c>
      <c r="I40" s="3">
        <v>3096475.52</v>
      </c>
      <c r="J40" s="3">
        <v>5231268.22</v>
      </c>
      <c r="K40" s="3">
        <v>3316361.59</v>
      </c>
      <c r="L40" s="3">
        <v>4117709.2</v>
      </c>
      <c r="M40" s="3">
        <v>2071716.76</v>
      </c>
      <c r="N40" s="3">
        <v>36359191.609999977</v>
      </c>
    </row>
    <row r="41" spans="1:14" x14ac:dyDescent="0.3">
      <c r="A41" s="2" t="s">
        <v>129</v>
      </c>
      <c r="B41" s="3">
        <v>357711.42000000004</v>
      </c>
      <c r="C41" s="3">
        <v>486955.33</v>
      </c>
      <c r="D41" s="3">
        <v>421180.44</v>
      </c>
      <c r="E41" s="3">
        <v>321866.40999999997</v>
      </c>
      <c r="F41" s="3">
        <v>593100.75</v>
      </c>
      <c r="G41" s="3">
        <v>300260</v>
      </c>
      <c r="H41" s="3">
        <v>101749.27999999998</v>
      </c>
      <c r="I41" s="3">
        <v>419288.08</v>
      </c>
      <c r="J41" s="3">
        <v>533482.69999999995</v>
      </c>
      <c r="K41" s="3">
        <v>415211.50999999995</v>
      </c>
      <c r="L41" s="3">
        <v>385168.31999999995</v>
      </c>
      <c r="M41" s="3">
        <v>312733.12999999995</v>
      </c>
      <c r="N41" s="3">
        <v>4648707.3699999992</v>
      </c>
    </row>
    <row r="42" spans="1:14" x14ac:dyDescent="0.3">
      <c r="A42" s="2" t="s">
        <v>130</v>
      </c>
      <c r="B42" s="3">
        <v>1910057.4899999998</v>
      </c>
      <c r="C42" s="3">
        <v>3624087.0000000005</v>
      </c>
      <c r="D42" s="3">
        <v>2716471.3699999996</v>
      </c>
      <c r="E42" s="3">
        <v>1941918.26</v>
      </c>
      <c r="F42" s="3">
        <v>2784982.0599999996</v>
      </c>
      <c r="G42" s="3">
        <v>2762207.62</v>
      </c>
      <c r="H42" s="3">
        <v>1961169.78</v>
      </c>
      <c r="I42" s="3">
        <v>3547287.16</v>
      </c>
      <c r="J42" s="3">
        <v>3674884.7000000007</v>
      </c>
      <c r="K42" s="3">
        <v>2891307.33</v>
      </c>
      <c r="L42" s="3">
        <v>2950000.1599999992</v>
      </c>
      <c r="M42" s="3">
        <v>2932916.3</v>
      </c>
      <c r="N42" s="3">
        <v>33697289.230000012</v>
      </c>
    </row>
    <row r="43" spans="1:14" x14ac:dyDescent="0.3">
      <c r="A43" s="2" t="s">
        <v>131</v>
      </c>
      <c r="B43" s="3">
        <v>199165.81999999998</v>
      </c>
      <c r="C43" s="3">
        <v>366696.47000000003</v>
      </c>
      <c r="D43" s="3">
        <v>269989.56999999995</v>
      </c>
      <c r="E43" s="3">
        <v>197493.58999999997</v>
      </c>
      <c r="F43" s="3">
        <v>275066.54000000004</v>
      </c>
      <c r="G43" s="3">
        <v>287488.28000000003</v>
      </c>
      <c r="H43" s="3">
        <v>200084.23000000004</v>
      </c>
      <c r="I43" s="3">
        <v>348431.78</v>
      </c>
      <c r="J43" s="3">
        <v>372196.18</v>
      </c>
      <c r="K43" s="3">
        <v>288409.5</v>
      </c>
      <c r="L43" s="3">
        <v>295477.90999999997</v>
      </c>
      <c r="M43" s="3">
        <v>293894.53000000003</v>
      </c>
      <c r="N43" s="3">
        <v>3394394.4</v>
      </c>
    </row>
    <row r="44" spans="1:14" x14ac:dyDescent="0.3">
      <c r="A44" s="2" t="s">
        <v>132</v>
      </c>
      <c r="B44" s="3">
        <v>140336.09</v>
      </c>
      <c r="C44" s="3">
        <v>265430.54000000004</v>
      </c>
      <c r="D44" s="3">
        <v>211323.3</v>
      </c>
      <c r="E44" s="3">
        <v>147228.14999999997</v>
      </c>
      <c r="F44" s="3">
        <v>206186.49</v>
      </c>
      <c r="G44" s="3">
        <v>217860.17000000004</v>
      </c>
      <c r="H44" s="3">
        <v>154306.82000000004</v>
      </c>
      <c r="I44" s="3">
        <v>261970.43000000002</v>
      </c>
      <c r="J44" s="3">
        <v>262007.81</v>
      </c>
      <c r="K44" s="3">
        <v>202019.65000000002</v>
      </c>
      <c r="L44" s="3">
        <v>223568.40000000002</v>
      </c>
      <c r="M44" s="3">
        <v>236106.60999999996</v>
      </c>
      <c r="N44" s="3">
        <v>2528344.4600000004</v>
      </c>
    </row>
    <row r="45" spans="1:14" x14ac:dyDescent="0.3">
      <c r="A45" s="2" t="s">
        <v>133</v>
      </c>
      <c r="B45" s="3">
        <v>261552.53000000003</v>
      </c>
      <c r="C45" s="3">
        <v>466801.07999999996</v>
      </c>
      <c r="D45" s="3">
        <v>235038.99</v>
      </c>
      <c r="E45" s="3">
        <v>290967.25</v>
      </c>
      <c r="F45" s="3">
        <v>460119.59</v>
      </c>
      <c r="G45" s="3">
        <v>271207.96999999997</v>
      </c>
      <c r="H45" s="3">
        <v>93407.78</v>
      </c>
      <c r="I45" s="3">
        <v>380908.96</v>
      </c>
      <c r="J45" s="3">
        <v>519192.64</v>
      </c>
      <c r="K45" s="3">
        <v>368308.58999999997</v>
      </c>
      <c r="L45" s="3">
        <v>370644.44</v>
      </c>
      <c r="M45" s="3">
        <v>258453.78999999998</v>
      </c>
      <c r="N45" s="3">
        <v>3976603.6100000008</v>
      </c>
    </row>
    <row r="46" spans="1:14" x14ac:dyDescent="0.3">
      <c r="A46" s="2" t="s">
        <v>134</v>
      </c>
      <c r="B46" s="3">
        <v>23396.760000000002</v>
      </c>
      <c r="C46" s="3">
        <v>49899.53</v>
      </c>
      <c r="D46" s="3">
        <v>34907.11</v>
      </c>
      <c r="E46" s="3">
        <v>24500.820000000003</v>
      </c>
      <c r="F46" s="3">
        <v>37346.080000000002</v>
      </c>
      <c r="G46" s="3">
        <v>39477.950000000004</v>
      </c>
      <c r="H46" s="3">
        <v>25694.13</v>
      </c>
      <c r="I46" s="3">
        <v>49637.17</v>
      </c>
      <c r="J46" s="3">
        <v>48370.400000000001</v>
      </c>
      <c r="K46" s="3">
        <v>35399.300000000003</v>
      </c>
      <c r="L46" s="3">
        <v>38713.19</v>
      </c>
      <c r="M46" s="3">
        <v>40428.909999999996</v>
      </c>
      <c r="N46" s="3">
        <v>447771.34999999986</v>
      </c>
    </row>
    <row r="47" spans="1:14" x14ac:dyDescent="0.3">
      <c r="A47" s="2" t="s">
        <v>135</v>
      </c>
      <c r="B47" s="3">
        <v>21267.849999999995</v>
      </c>
      <c r="C47" s="3">
        <v>45755.310000000005</v>
      </c>
      <c r="D47" s="3">
        <v>31816.04</v>
      </c>
      <c r="E47" s="3">
        <v>22275.599999999999</v>
      </c>
      <c r="F47" s="3">
        <v>34029.499999999993</v>
      </c>
      <c r="G47" s="3">
        <v>36088.61</v>
      </c>
      <c r="H47" s="3">
        <v>23360.5</v>
      </c>
      <c r="I47" s="3">
        <v>45289.459999999992</v>
      </c>
      <c r="J47" s="3">
        <v>44146.64</v>
      </c>
      <c r="K47" s="3">
        <v>32178.649999999998</v>
      </c>
      <c r="L47" s="3">
        <v>35195.379999999997</v>
      </c>
      <c r="M47" s="3">
        <v>36753.94</v>
      </c>
      <c r="N47" s="3">
        <v>408157.47999999992</v>
      </c>
    </row>
    <row r="48" spans="1:14" x14ac:dyDescent="0.3">
      <c r="A48" s="2" t="s">
        <v>136</v>
      </c>
      <c r="B48" s="3">
        <v>10821.33</v>
      </c>
      <c r="C48" s="3">
        <v>23027.87</v>
      </c>
      <c r="D48" s="3">
        <v>16135.3</v>
      </c>
      <c r="E48" s="3">
        <v>11346.69</v>
      </c>
      <c r="F48" s="3">
        <v>17330.84</v>
      </c>
      <c r="G48" s="3">
        <v>18116.229999999996</v>
      </c>
      <c r="H48" s="3">
        <v>11865.76</v>
      </c>
      <c r="I48" s="3">
        <v>23205.01</v>
      </c>
      <c r="J48" s="3">
        <v>22788.939999999995</v>
      </c>
      <c r="K48" s="3">
        <v>16439.830000000002</v>
      </c>
      <c r="L48" s="3">
        <v>17847.86</v>
      </c>
      <c r="M48" s="3">
        <v>18522.599999999995</v>
      </c>
      <c r="N48" s="3">
        <v>207448.26</v>
      </c>
    </row>
    <row r="49" spans="1:14" x14ac:dyDescent="0.3">
      <c r="A49" s="2" t="s">
        <v>137</v>
      </c>
      <c r="B49" s="3">
        <v>8119.869999999999</v>
      </c>
      <c r="C49" s="3">
        <v>17505.46</v>
      </c>
      <c r="D49" s="3">
        <v>12265.879999999997</v>
      </c>
      <c r="E49" s="3">
        <v>8493.68</v>
      </c>
      <c r="F49" s="3">
        <v>13187.710000000001</v>
      </c>
      <c r="G49" s="3">
        <v>13747.05</v>
      </c>
      <c r="H49" s="3">
        <v>8903.43</v>
      </c>
      <c r="I49" s="3">
        <v>17639.53</v>
      </c>
      <c r="J49" s="3">
        <v>17332.919999999995</v>
      </c>
      <c r="K49" s="3">
        <v>12558.96</v>
      </c>
      <c r="L49" s="3">
        <v>13614.730000000001</v>
      </c>
      <c r="M49" s="3">
        <v>14125.710000000001</v>
      </c>
      <c r="N49" s="3">
        <v>157494.93000000002</v>
      </c>
    </row>
    <row r="50" spans="1:14" x14ac:dyDescent="0.3">
      <c r="A50" s="2" t="s">
        <v>138</v>
      </c>
      <c r="B50" s="3">
        <v>2363.3799999999997</v>
      </c>
      <c r="C50" s="3">
        <v>3774.4</v>
      </c>
      <c r="D50" s="3">
        <v>2890.09</v>
      </c>
      <c r="E50" s="3">
        <v>2471.7599999999998</v>
      </c>
      <c r="F50" s="3">
        <v>3132.9</v>
      </c>
      <c r="G50" s="3">
        <v>3354.8399999999997</v>
      </c>
      <c r="H50" s="3">
        <v>2595.5299999999997</v>
      </c>
      <c r="I50" s="3">
        <v>3813.2099999999996</v>
      </c>
      <c r="J50" s="3">
        <v>3745.16</v>
      </c>
      <c r="K50" s="3">
        <v>2959.2400000000002</v>
      </c>
      <c r="L50" s="3">
        <v>3284.8699999999994</v>
      </c>
      <c r="M50" s="3">
        <v>3455.11</v>
      </c>
      <c r="N50" s="3">
        <v>37840.49</v>
      </c>
    </row>
    <row r="51" spans="1:14" x14ac:dyDescent="0.3">
      <c r="A51" s="2" t="s">
        <v>139</v>
      </c>
      <c r="B51" s="3">
        <v>3487.43</v>
      </c>
      <c r="C51" s="3">
        <v>7354.3000000000011</v>
      </c>
      <c r="D51" s="3">
        <v>5235.4699999999993</v>
      </c>
      <c r="E51" s="3">
        <v>3689.89</v>
      </c>
      <c r="F51" s="3">
        <v>5581.7400000000007</v>
      </c>
      <c r="G51" s="3">
        <v>5783.05</v>
      </c>
      <c r="H51" s="3">
        <v>3845.2</v>
      </c>
      <c r="I51" s="3">
        <v>7395.5000000000009</v>
      </c>
      <c r="J51" s="3">
        <v>7547.8300000000008</v>
      </c>
      <c r="K51" s="3">
        <v>5665.7299999999987</v>
      </c>
      <c r="L51" s="3">
        <v>6140.7999999999993</v>
      </c>
      <c r="M51" s="3">
        <v>6407.96</v>
      </c>
      <c r="N51" s="3">
        <v>68134.899999999965</v>
      </c>
    </row>
    <row r="52" spans="1:14" x14ac:dyDescent="0.3">
      <c r="A52" s="2" t="s">
        <v>140</v>
      </c>
      <c r="B52" s="3">
        <v>15640.960000000001</v>
      </c>
      <c r="C52" s="3">
        <v>26937.219999999994</v>
      </c>
      <c r="D52" s="3">
        <v>20099.929999999997</v>
      </c>
      <c r="E52" s="3">
        <v>17953.22</v>
      </c>
      <c r="F52" s="3">
        <v>22055.32</v>
      </c>
      <c r="G52" s="3">
        <v>20130.330000000002</v>
      </c>
      <c r="H52" s="3">
        <v>10163.459999999999</v>
      </c>
      <c r="I52" s="3">
        <v>22914.52</v>
      </c>
      <c r="J52" s="3">
        <v>30174.36</v>
      </c>
      <c r="K52" s="3">
        <v>22025.159999999996</v>
      </c>
      <c r="L52" s="3">
        <v>22979.11</v>
      </c>
      <c r="M52" s="3">
        <v>13918.12</v>
      </c>
      <c r="N52" s="3">
        <v>244991.71000000002</v>
      </c>
    </row>
    <row r="53" spans="1:14" x14ac:dyDescent="0.3">
      <c r="A53" s="2" t="s">
        <v>141</v>
      </c>
      <c r="B53" s="3">
        <v>15383.700000000003</v>
      </c>
      <c r="C53" s="3">
        <v>33450.49</v>
      </c>
      <c r="D53" s="3">
        <v>23030.65</v>
      </c>
      <c r="E53" s="3">
        <v>15989.03</v>
      </c>
      <c r="F53" s="3">
        <v>25017.27</v>
      </c>
      <c r="G53" s="3">
        <v>25672.159999999996</v>
      </c>
      <c r="H53" s="3">
        <v>16576.57</v>
      </c>
      <c r="I53" s="3">
        <v>33598.239999999998</v>
      </c>
      <c r="J53" s="3">
        <v>33257.79</v>
      </c>
      <c r="K53" s="3">
        <v>24278.410000000003</v>
      </c>
      <c r="L53" s="3">
        <v>25694.37</v>
      </c>
      <c r="M53" s="3">
        <v>26248.91</v>
      </c>
      <c r="N53" s="3">
        <v>298197.59000000008</v>
      </c>
    </row>
    <row r="54" spans="1:14" x14ac:dyDescent="0.3">
      <c r="A54" s="2" t="s">
        <v>142</v>
      </c>
      <c r="B54" s="3">
        <v>16837.32</v>
      </c>
      <c r="C54" s="3">
        <v>29562.039999999994</v>
      </c>
      <c r="D54" s="3">
        <v>20959.519999999997</v>
      </c>
      <c r="E54" s="3">
        <v>17403.330000000002</v>
      </c>
      <c r="F54" s="3">
        <v>23175.939999999995</v>
      </c>
      <c r="G54" s="3">
        <v>24163.239999999998</v>
      </c>
      <c r="H54" s="3">
        <v>17064.650000000001</v>
      </c>
      <c r="I54" s="3">
        <v>29380.32</v>
      </c>
      <c r="J54" s="3">
        <v>27909</v>
      </c>
      <c r="K54" s="3">
        <v>22570.850000000002</v>
      </c>
      <c r="L54" s="3">
        <v>23966.239999999998</v>
      </c>
      <c r="M54" s="3">
        <v>24628.41</v>
      </c>
      <c r="N54" s="3">
        <v>277620.86</v>
      </c>
    </row>
    <row r="55" spans="1:14" x14ac:dyDescent="0.3">
      <c r="A55" s="2" t="s">
        <v>143</v>
      </c>
      <c r="B55" s="3">
        <v>75749.919999999998</v>
      </c>
      <c r="C55" s="3">
        <v>129250.72</v>
      </c>
      <c r="D55" s="3">
        <v>85843.760000000009</v>
      </c>
      <c r="E55" s="3">
        <v>82612.47</v>
      </c>
      <c r="F55" s="3">
        <v>122150.34999999999</v>
      </c>
      <c r="G55" s="3">
        <v>91578.87999999999</v>
      </c>
      <c r="H55" s="3">
        <v>46655.44</v>
      </c>
      <c r="I55" s="3">
        <v>116627.79</v>
      </c>
      <c r="J55" s="3">
        <v>153301.47999999998</v>
      </c>
      <c r="K55" s="3">
        <v>100251.98</v>
      </c>
      <c r="L55" s="3">
        <v>117310.79</v>
      </c>
      <c r="M55" s="3">
        <v>88584.020000000019</v>
      </c>
      <c r="N55" s="3">
        <v>1209917.6000000001</v>
      </c>
    </row>
    <row r="56" spans="1:14" x14ac:dyDescent="0.3">
      <c r="A56" s="2" t="s">
        <v>144</v>
      </c>
      <c r="B56" s="3">
        <v>33233.670000000006</v>
      </c>
      <c r="C56" s="3">
        <v>70528.09</v>
      </c>
      <c r="D56" s="3">
        <v>47298.070000000007</v>
      </c>
      <c r="E56" s="3">
        <v>34314.15</v>
      </c>
      <c r="F56" s="3">
        <v>52185.740000000005</v>
      </c>
      <c r="G56" s="3">
        <v>53196.53</v>
      </c>
      <c r="H56" s="3">
        <v>35014.310000000005</v>
      </c>
      <c r="I56" s="3">
        <v>69867.520000000004</v>
      </c>
      <c r="J56" s="3">
        <v>70439.27</v>
      </c>
      <c r="K56" s="3">
        <v>51932.939999999995</v>
      </c>
      <c r="L56" s="3">
        <v>53446.15</v>
      </c>
      <c r="M56" s="3">
        <v>53496.710000000006</v>
      </c>
      <c r="N56" s="3">
        <v>624953.14999999991</v>
      </c>
    </row>
    <row r="57" spans="1:14" x14ac:dyDescent="0.3">
      <c r="A57" s="2" t="s">
        <v>145</v>
      </c>
      <c r="B57" s="3">
        <v>10027.4</v>
      </c>
      <c r="C57" s="3">
        <v>21537.97</v>
      </c>
      <c r="D57" s="3">
        <v>14181.57</v>
      </c>
      <c r="E57" s="3">
        <v>10263.52</v>
      </c>
      <c r="F57" s="3">
        <v>15938.73</v>
      </c>
      <c r="G57" s="3">
        <v>15895.860000000002</v>
      </c>
      <c r="H57" s="3">
        <v>10283.970000000001</v>
      </c>
      <c r="I57" s="3">
        <v>21448.250000000004</v>
      </c>
      <c r="J57" s="3">
        <v>21668.919999999995</v>
      </c>
      <c r="K57" s="3">
        <v>15961.18</v>
      </c>
      <c r="L57" s="3">
        <v>16009.120000000003</v>
      </c>
      <c r="M57" s="3">
        <v>15822.250000000002</v>
      </c>
      <c r="N57" s="3">
        <v>189038.73999999987</v>
      </c>
    </row>
    <row r="58" spans="1:14" x14ac:dyDescent="0.3">
      <c r="A58" s="2" t="s">
        <v>146</v>
      </c>
      <c r="B58" s="3">
        <v>39135.81</v>
      </c>
      <c r="C58" s="3">
        <v>82058.690000000017</v>
      </c>
      <c r="D58" s="3">
        <v>53950.099999999991</v>
      </c>
      <c r="E58" s="3">
        <v>40328.299999999996</v>
      </c>
      <c r="F58" s="3">
        <v>60619.37</v>
      </c>
      <c r="G58" s="3">
        <v>60889.86</v>
      </c>
      <c r="H58" s="3">
        <v>39816.47</v>
      </c>
      <c r="I58" s="3">
        <v>81967.25999999998</v>
      </c>
      <c r="J58" s="3">
        <v>83561.3</v>
      </c>
      <c r="K58" s="3">
        <v>61675.65</v>
      </c>
      <c r="L58" s="3">
        <v>62240.350000000006</v>
      </c>
      <c r="M58" s="3">
        <v>60914.91</v>
      </c>
      <c r="N58" s="3">
        <v>727158.07</v>
      </c>
    </row>
    <row r="59" spans="1:14" x14ac:dyDescent="0.3">
      <c r="A59" s="2" t="s">
        <v>147</v>
      </c>
      <c r="B59" s="3">
        <v>24228.81</v>
      </c>
      <c r="C59" s="3">
        <v>51322.710000000006</v>
      </c>
      <c r="D59" s="3">
        <v>33668.36</v>
      </c>
      <c r="E59" s="3">
        <v>24968.050000000007</v>
      </c>
      <c r="F59" s="3">
        <v>37792.959999999999</v>
      </c>
      <c r="G59" s="3">
        <v>37952.81</v>
      </c>
      <c r="H59" s="3">
        <v>24655.929999999997</v>
      </c>
      <c r="I59" s="3">
        <v>51151.919999999991</v>
      </c>
      <c r="J59" s="3">
        <v>52017.31</v>
      </c>
      <c r="K59" s="3">
        <v>38195.929999999993</v>
      </c>
      <c r="L59" s="3">
        <v>38548.160000000003</v>
      </c>
      <c r="M59" s="3">
        <v>37724.049999999996</v>
      </c>
      <c r="N59" s="3">
        <v>452226.99999999977</v>
      </c>
    </row>
    <row r="60" spans="1:14" x14ac:dyDescent="0.3">
      <c r="A60" s="2" t="s">
        <v>148</v>
      </c>
      <c r="B60" s="3">
        <v>2457.7900000000004</v>
      </c>
      <c r="C60" s="3">
        <v>5219.6499999999996</v>
      </c>
      <c r="D60" s="3">
        <v>3428.8499999999995</v>
      </c>
      <c r="E60" s="3">
        <v>2548.7599999999998</v>
      </c>
      <c r="F60" s="3">
        <v>3844.0699999999997</v>
      </c>
      <c r="G60" s="3">
        <v>3854.04</v>
      </c>
      <c r="H60" s="3">
        <v>2482.48</v>
      </c>
      <c r="I60" s="3">
        <v>5221.4600000000009</v>
      </c>
      <c r="J60" s="3">
        <v>5294.57</v>
      </c>
      <c r="K60" s="3">
        <v>3911.3300000000004</v>
      </c>
      <c r="L60" s="3">
        <v>3951.2999999999993</v>
      </c>
      <c r="M60" s="3">
        <v>3851.08</v>
      </c>
      <c r="N60" s="3">
        <v>46065.380000000005</v>
      </c>
    </row>
    <row r="61" spans="1:14" x14ac:dyDescent="0.3">
      <c r="A61" s="2" t="s">
        <v>149</v>
      </c>
      <c r="B61" s="3">
        <v>8569.6299999999992</v>
      </c>
      <c r="C61" s="3">
        <v>18084.220000000005</v>
      </c>
      <c r="D61" s="3">
        <v>11812.59</v>
      </c>
      <c r="E61" s="3">
        <v>8860.51</v>
      </c>
      <c r="F61" s="3">
        <v>13288.039999999999</v>
      </c>
      <c r="G61" s="3">
        <v>13381.669999999998</v>
      </c>
      <c r="H61" s="3">
        <v>8652.41</v>
      </c>
      <c r="I61" s="3">
        <v>18244.169999999998</v>
      </c>
      <c r="J61" s="3">
        <v>18733.899999999998</v>
      </c>
      <c r="K61" s="3">
        <v>13530.25</v>
      </c>
      <c r="L61" s="3">
        <v>13671.66</v>
      </c>
      <c r="M61" s="3">
        <v>13331.279999999999</v>
      </c>
      <c r="N61" s="3">
        <v>160160.32999999996</v>
      </c>
    </row>
    <row r="62" spans="1:14" x14ac:dyDescent="0.3">
      <c r="A62" s="2" t="s">
        <v>150</v>
      </c>
      <c r="B62" s="3">
        <v>7448.12</v>
      </c>
      <c r="C62" s="3">
        <v>15540.4</v>
      </c>
      <c r="D62" s="3">
        <v>10256.890000000001</v>
      </c>
      <c r="E62" s="3">
        <v>7714.3799999999992</v>
      </c>
      <c r="F62" s="3">
        <v>11572.970000000001</v>
      </c>
      <c r="G62" s="3">
        <v>11538.769999999999</v>
      </c>
      <c r="H62" s="3">
        <v>7462.2799999999988</v>
      </c>
      <c r="I62" s="3">
        <v>15797.42</v>
      </c>
      <c r="J62" s="3">
        <v>16021.439999999999</v>
      </c>
      <c r="K62" s="3">
        <v>11821.88</v>
      </c>
      <c r="L62" s="3">
        <v>11957.78</v>
      </c>
      <c r="M62" s="3">
        <v>11626.210000000001</v>
      </c>
      <c r="N62" s="3">
        <v>138758.53999999998</v>
      </c>
    </row>
    <row r="63" spans="1:14" x14ac:dyDescent="0.3">
      <c r="A63" s="2" t="s">
        <v>151</v>
      </c>
      <c r="B63" s="3">
        <v>6856.9400000000014</v>
      </c>
      <c r="C63" s="3">
        <v>14156.81</v>
      </c>
      <c r="D63" s="3">
        <v>18106.309999999998</v>
      </c>
      <c r="E63" s="3">
        <v>7086.2100000000009</v>
      </c>
      <c r="F63" s="3">
        <v>10635.950000000003</v>
      </c>
      <c r="G63" s="3">
        <v>10559.97</v>
      </c>
      <c r="H63" s="3">
        <v>6921.0199999999995</v>
      </c>
      <c r="I63" s="3">
        <v>14436.679999999997</v>
      </c>
      <c r="J63" s="3">
        <v>14663.08</v>
      </c>
      <c r="K63" s="3">
        <v>10842.400000000001</v>
      </c>
      <c r="L63" s="3">
        <v>10958.14</v>
      </c>
      <c r="M63" s="3">
        <v>10687.169999999998</v>
      </c>
      <c r="N63" s="3">
        <v>135910.67999999996</v>
      </c>
    </row>
    <row r="64" spans="1:14" x14ac:dyDescent="0.3">
      <c r="A64" s="2" t="s">
        <v>152</v>
      </c>
      <c r="B64" s="3">
        <v>33604.54</v>
      </c>
      <c r="C64" s="3">
        <v>70929.829999999987</v>
      </c>
      <c r="D64" s="3">
        <v>47047.609999999993</v>
      </c>
      <c r="E64" s="3">
        <v>34482.339999999997</v>
      </c>
      <c r="F64" s="3">
        <v>52497.360000000008</v>
      </c>
      <c r="G64" s="3">
        <v>52607.119999999988</v>
      </c>
      <c r="H64" s="3">
        <v>34813.909999999996</v>
      </c>
      <c r="I64" s="3">
        <v>70380.479999999996</v>
      </c>
      <c r="J64" s="3">
        <v>71714.22</v>
      </c>
      <c r="K64" s="3">
        <v>52852.75</v>
      </c>
      <c r="L64" s="3">
        <v>53199.94</v>
      </c>
      <c r="M64" s="3">
        <v>52416.339999999989</v>
      </c>
      <c r="N64" s="3">
        <v>626546.44000000006</v>
      </c>
    </row>
    <row r="65" spans="1:14" x14ac:dyDescent="0.3">
      <c r="A65" s="2" t="s">
        <v>153</v>
      </c>
      <c r="B65" s="3">
        <v>9502.74</v>
      </c>
      <c r="C65" s="3">
        <v>14567.929999999998</v>
      </c>
      <c r="D65" s="3">
        <v>11846.079999999998</v>
      </c>
      <c r="E65" s="3">
        <v>9853.489999999998</v>
      </c>
      <c r="F65" s="3">
        <v>12178.09</v>
      </c>
      <c r="G65" s="3">
        <v>12265.359999999999</v>
      </c>
      <c r="H65" s="3">
        <v>9596.8100000000013</v>
      </c>
      <c r="I65" s="3">
        <v>14980.130000000001</v>
      </c>
      <c r="J65" s="3">
        <v>14937.779999999999</v>
      </c>
      <c r="K65" s="3">
        <v>12374.05</v>
      </c>
      <c r="L65" s="3">
        <v>12650.26</v>
      </c>
      <c r="M65" s="3">
        <v>12249.56</v>
      </c>
      <c r="N65" s="3">
        <v>147002.28</v>
      </c>
    </row>
    <row r="66" spans="1:14" x14ac:dyDescent="0.3">
      <c r="A66" s="2" t="s">
        <v>154</v>
      </c>
      <c r="B66" s="3">
        <v>14595.929999999998</v>
      </c>
      <c r="C66" s="3">
        <v>22372.52</v>
      </c>
      <c r="D66" s="3">
        <v>18192.009999999998</v>
      </c>
      <c r="E66" s="3">
        <v>15131.380000000001</v>
      </c>
      <c r="F66" s="3">
        <v>18701.920000000002</v>
      </c>
      <c r="G66" s="3">
        <v>18832.45</v>
      </c>
      <c r="H66" s="3">
        <v>14734.470000000003</v>
      </c>
      <c r="I66" s="3">
        <v>22999.25</v>
      </c>
      <c r="J66" s="3">
        <v>22939.070000000003</v>
      </c>
      <c r="K66" s="3">
        <v>18996.100000000002</v>
      </c>
      <c r="L66" s="3">
        <v>19422.689999999999</v>
      </c>
      <c r="M66" s="3">
        <v>18805.8</v>
      </c>
      <c r="N66" s="3">
        <v>225723.59000000005</v>
      </c>
    </row>
    <row r="67" spans="1:14" x14ac:dyDescent="0.3">
      <c r="A67" s="2" t="s">
        <v>155</v>
      </c>
      <c r="B67" s="3">
        <v>-11636.220000000001</v>
      </c>
      <c r="C67" s="3">
        <v>-17850.429999999997</v>
      </c>
      <c r="D67" s="3">
        <v>-14505.53</v>
      </c>
      <c r="E67" s="3">
        <v>-12066.32</v>
      </c>
      <c r="F67" s="3">
        <v>-14913.44</v>
      </c>
      <c r="G67" s="3">
        <v>-15018.55</v>
      </c>
      <c r="H67" s="3">
        <v>-11744.28</v>
      </c>
      <c r="I67" s="3">
        <v>-18342.490000000002</v>
      </c>
      <c r="J67" s="3">
        <v>-18294.760000000002</v>
      </c>
      <c r="K67" s="3">
        <v>-15147.729999999998</v>
      </c>
      <c r="L67" s="3">
        <v>-15492.320000000002</v>
      </c>
      <c r="M67" s="3">
        <v>-14996.609999999999</v>
      </c>
      <c r="N67" s="3">
        <v>-180008.68000000005</v>
      </c>
    </row>
    <row r="68" spans="1:14" x14ac:dyDescent="0.3">
      <c r="A68" s="2" t="s">
        <v>156</v>
      </c>
      <c r="B68" s="3">
        <v>19465.95</v>
      </c>
      <c r="C68" s="3">
        <v>29827.329999999998</v>
      </c>
      <c r="D68" s="3">
        <v>-53570.34</v>
      </c>
      <c r="E68" s="3">
        <v>20178.679999999997</v>
      </c>
      <c r="F68" s="3">
        <v>24939.340000000004</v>
      </c>
      <c r="G68" s="3">
        <v>25111.379999999997</v>
      </c>
      <c r="H68" s="3">
        <v>19646.429999999997</v>
      </c>
      <c r="I68" s="3">
        <v>30676.239999999998</v>
      </c>
      <c r="J68" s="3">
        <v>30592.880000000001</v>
      </c>
      <c r="K68" s="3">
        <v>25333.350000000002</v>
      </c>
      <c r="L68" s="3">
        <v>25896.160000000003</v>
      </c>
      <c r="M68" s="3">
        <v>25086.050000000003</v>
      </c>
      <c r="N68" s="3">
        <v>223183.45</v>
      </c>
    </row>
    <row r="69" spans="1:14" x14ac:dyDescent="0.3">
      <c r="A69" s="2" t="s">
        <v>157</v>
      </c>
      <c r="B69" s="3"/>
      <c r="C69" s="3"/>
      <c r="D69" s="3">
        <v>86484</v>
      </c>
      <c r="E69" s="3"/>
      <c r="F69" s="3"/>
      <c r="G69" s="3"/>
      <c r="H69" s="3"/>
      <c r="I69" s="3"/>
      <c r="J69" s="3"/>
      <c r="K69" s="3"/>
      <c r="L69" s="3"/>
      <c r="M69" s="3"/>
      <c r="N69" s="3">
        <v>86484</v>
      </c>
    </row>
    <row r="70" spans="1:14" x14ac:dyDescent="0.3">
      <c r="A70" s="2" t="s">
        <v>158</v>
      </c>
      <c r="B70" s="3">
        <v>592428.18000000005</v>
      </c>
      <c r="C70" s="3">
        <v>679019.32000000007</v>
      </c>
      <c r="D70" s="3">
        <v>584574.69000000006</v>
      </c>
      <c r="E70" s="3">
        <v>579245.9700000002</v>
      </c>
      <c r="F70" s="3">
        <v>816559.6</v>
      </c>
      <c r="G70" s="3">
        <v>502493.02999999997</v>
      </c>
      <c r="H70" s="3">
        <v>254306.56</v>
      </c>
      <c r="I70" s="3">
        <v>581024.69999999995</v>
      </c>
      <c r="J70" s="3">
        <v>926406.61</v>
      </c>
      <c r="K70" s="3">
        <v>513772.78000000009</v>
      </c>
      <c r="L70" s="3">
        <v>766302.96</v>
      </c>
      <c r="M70" s="3">
        <v>447656.61</v>
      </c>
      <c r="N70" s="3">
        <v>7243791.009999997</v>
      </c>
    </row>
    <row r="71" spans="1:14" x14ac:dyDescent="0.3">
      <c r="A71" s="2" t="s">
        <v>159</v>
      </c>
      <c r="B71" s="3">
        <v>451</v>
      </c>
      <c r="C71" s="3">
        <v>706</v>
      </c>
      <c r="D71" s="3">
        <v>577</v>
      </c>
      <c r="E71" s="3">
        <v>460</v>
      </c>
      <c r="F71" s="3">
        <v>579</v>
      </c>
      <c r="G71" s="3">
        <v>589</v>
      </c>
      <c r="H71" s="3">
        <v>464</v>
      </c>
      <c r="I71" s="3">
        <v>706</v>
      </c>
      <c r="J71" s="3">
        <v>707</v>
      </c>
      <c r="K71" s="3">
        <v>585</v>
      </c>
      <c r="L71" s="3">
        <v>594</v>
      </c>
      <c r="M71" s="3">
        <v>584</v>
      </c>
      <c r="N71" s="3">
        <v>7002</v>
      </c>
    </row>
    <row r="72" spans="1:14" x14ac:dyDescent="0.3">
      <c r="A72" s="2" t="s">
        <v>160</v>
      </c>
      <c r="B72" s="3">
        <v>17704</v>
      </c>
      <c r="C72" s="3">
        <v>13219</v>
      </c>
      <c r="D72" s="3">
        <v>17126</v>
      </c>
      <c r="E72" s="3">
        <v>21501</v>
      </c>
      <c r="F72" s="3">
        <v>26914</v>
      </c>
      <c r="G72" s="3">
        <v>11827</v>
      </c>
      <c r="H72" s="3">
        <v>7423</v>
      </c>
      <c r="I72" s="3">
        <v>14741</v>
      </c>
      <c r="J72" s="3">
        <v>20630</v>
      </c>
      <c r="K72" s="3">
        <v>17092</v>
      </c>
      <c r="L72" s="3">
        <v>20094</v>
      </c>
      <c r="M72" s="3">
        <v>13052</v>
      </c>
      <c r="N72" s="3">
        <v>201323</v>
      </c>
    </row>
    <row r="73" spans="1:14" x14ac:dyDescent="0.3">
      <c r="A73" s="2" t="s">
        <v>161</v>
      </c>
      <c r="B73" s="3">
        <v>740000</v>
      </c>
      <c r="C73" s="3">
        <v>1336500</v>
      </c>
      <c r="D73" s="3">
        <v>950000</v>
      </c>
      <c r="E73" s="3">
        <v>740000</v>
      </c>
      <c r="F73" s="3">
        <v>950000</v>
      </c>
      <c r="G73" s="3">
        <v>1044000</v>
      </c>
      <c r="H73" s="3">
        <v>740000</v>
      </c>
      <c r="I73" s="3">
        <v>1179000</v>
      </c>
      <c r="J73" s="3">
        <v>1325000</v>
      </c>
      <c r="K73" s="3">
        <v>1055500</v>
      </c>
      <c r="L73" s="3">
        <v>1055500</v>
      </c>
      <c r="M73" s="3">
        <v>1048500</v>
      </c>
      <c r="N73" s="3">
        <v>12164000</v>
      </c>
    </row>
    <row r="74" spans="1:14" x14ac:dyDescent="0.3">
      <c r="A74" s="2" t="s">
        <v>1</v>
      </c>
      <c r="B74" s="3">
        <v>101105297.93999998</v>
      </c>
      <c r="C74" s="3">
        <v>130895944.37999998</v>
      </c>
      <c r="D74" s="3">
        <v>97178652.149999991</v>
      </c>
      <c r="E74" s="3">
        <v>108430259.23</v>
      </c>
      <c r="F74" s="3">
        <v>135969250.73000002</v>
      </c>
      <c r="G74" s="3">
        <v>99553893.48999998</v>
      </c>
      <c r="H74" s="3">
        <v>65597137.380000003</v>
      </c>
      <c r="I74" s="3">
        <v>126168918.24999997</v>
      </c>
      <c r="J74" s="3">
        <v>159063697.22</v>
      </c>
      <c r="K74" s="3">
        <v>112093498.63</v>
      </c>
      <c r="L74" s="3">
        <v>128836053.06999999</v>
      </c>
      <c r="M74" s="3">
        <v>93747810.229999974</v>
      </c>
      <c r="N74" s="3">
        <v>1358640412.700001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Amount by CalendarYear and Orga</vt:lpstr>
      <vt:lpstr>Amount by AccountDescription an</vt:lpstr>
      <vt:lpstr>AccountCodeAlternateKey and Eng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Dhwani Pathak</dc:creator>
  <cp:lastModifiedBy>Dhwani Pathak</cp:lastModifiedBy>
  <dcterms:created xsi:type="dcterms:W3CDTF">2025-05-04T01:19:22Z</dcterms:created>
  <dcterms:modified xsi:type="dcterms:W3CDTF">2025-05-04T01:25:17Z</dcterms:modified>
</cp:coreProperties>
</file>